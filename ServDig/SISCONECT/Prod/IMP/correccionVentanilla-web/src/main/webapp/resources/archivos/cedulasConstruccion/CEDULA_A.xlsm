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workbookProtection workbookPassword="BE6F" lockStructure="1"/>
  <bookViews>
    <workbookView xWindow="120" yWindow="30" windowWidth="16515" windowHeight="8760" firstSheet="1" activeTab="1"/>
  </bookViews>
  <sheets>
    <sheet name="Prep" sheetId="7" state="hidden" r:id="rId1"/>
    <sheet name="CEDULA_A" sheetId="6" r:id="rId2"/>
    <sheet name="SISCONET" sheetId="9" state="hidden" r:id="rId3"/>
    <sheet name="RCedA" sheetId="8" state="hidden" r:id="rId4"/>
    <sheet name="Val" sheetId="2" state="hidden" r:id="rId5"/>
  </sheets>
  <functionGroups builtInGroupCount="17"/>
  <definedNames>
    <definedName name="_xlnm.Print_Area" localSheetId="1">CEDULA_A!$A$1:$P$71</definedName>
    <definedName name="_xlnm.Print_Area" localSheetId="3">RCedA!$A$1:$P$71</definedName>
  </definedNames>
  <calcPr calcId="144525"/>
</workbook>
</file>

<file path=xl/calcChain.xml><?xml version="1.0" encoding="utf-8"?>
<calcChain xmlns="http://schemas.openxmlformats.org/spreadsheetml/2006/main">
  <c r="N22" i="6" l="1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I62" i="6"/>
  <c r="J62" i="6"/>
  <c r="K62" i="6"/>
  <c r="L62" i="6"/>
  <c r="M62" i="6"/>
  <c r="N62" i="6"/>
  <c r="O62" i="6"/>
  <c r="P4" i="6" l="1"/>
  <c r="P3" i="6"/>
  <c r="C1" i="6"/>
  <c r="B1" i="6"/>
  <c r="O1" i="6"/>
  <c r="A22" i="6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P1" i="6"/>
  <c r="J1" i="6"/>
  <c r="H1" i="6" s="1"/>
  <c r="I1" i="6"/>
  <c r="M1" i="6"/>
  <c r="N1" i="6"/>
  <c r="E1" i="2"/>
  <c r="L1" i="6" l="1"/>
  <c r="K1" i="6"/>
</calcChain>
</file>

<file path=xl/sharedStrings.xml><?xml version="1.0" encoding="utf-8"?>
<sst xmlns="http://schemas.openxmlformats.org/spreadsheetml/2006/main" count="93" uniqueCount="47">
  <si>
    <t>Instituto Mexicano del Seguro Social</t>
  </si>
  <si>
    <t>AL</t>
  </si>
  <si>
    <t>FOLIO DE CORRECCIÓN:</t>
  </si>
  <si>
    <t>TOTAL</t>
  </si>
  <si>
    <t>EJERCICIO</t>
  </si>
  <si>
    <t>DESGLOSE DE BALANZA DE COMPROBACIÓN Y NÓMINAS</t>
  </si>
  <si>
    <t>CONCEPTO</t>
  </si>
  <si>
    <t>BALANZA DE COMPROBACIÓN (GASTOS)</t>
  </si>
  <si>
    <t>AUXILIAR DE NÓMINAS TOTAL</t>
  </si>
  <si>
    <t>A</t>
  </si>
  <si>
    <t>H</t>
  </si>
  <si>
    <t>C</t>
  </si>
  <si>
    <t>V</t>
  </si>
  <si>
    <t>Concepto</t>
  </si>
  <si>
    <t>CuentaMayor</t>
  </si>
  <si>
    <t>CEDULA A</t>
  </si>
  <si>
    <t>RP</t>
  </si>
  <si>
    <t>REGISTRO PATRONAL:</t>
  </si>
  <si>
    <t>N</t>
  </si>
  <si>
    <t xml:space="preserve">Subdelegación </t>
  </si>
  <si>
    <t>Delegación</t>
  </si>
  <si>
    <t>Nombre o razón</t>
  </si>
  <si>
    <t>Folio de Correccion</t>
  </si>
  <si>
    <t>Ejercicio</t>
  </si>
  <si>
    <t>Per Ini</t>
  </si>
  <si>
    <t>Per Fin</t>
  </si>
  <si>
    <t>DELEGACIÓN:</t>
  </si>
  <si>
    <t>SUBDELEGACIÓN:</t>
  </si>
  <si>
    <t>[-]</t>
  </si>
  <si>
    <t>GASTO</t>
  </si>
  <si>
    <t>REMUNERACIÓN</t>
  </si>
  <si>
    <t>AUXILIAR_NOMINAS</t>
  </si>
  <si>
    <t>ID_corranexos</t>
  </si>
  <si>
    <t>ID_CORRANEXOS</t>
  </si>
  <si>
    <r>
      <t>Nota</t>
    </r>
    <r>
      <rPr>
        <sz val="10"/>
        <rFont val="Arial"/>
        <family val="2"/>
      </rPr>
      <t xml:space="preserve"> considere todos los conceptos relativos a sueldos y salarios y/o prestaciones al personal (integrantes y no al salario base de cotización), así como honorarios, comisionistas, maquilas, subcontratistas, emolumentos, etc. Anexar copia de la balanza.</t>
    </r>
  </si>
  <si>
    <r>
      <t>Anexar:</t>
    </r>
    <r>
      <rPr>
        <sz val="10"/>
        <rFont val="Arial"/>
        <family val="2"/>
      </rPr>
      <t xml:space="preserve"> Copia de la Balanza de comprobación por todos los periodos mensuales que comprenda Corrección, de todas las cuentas con saldos y movimientos, al "Acuse de Recibo" de la Presentación de Corrección Patronal.</t>
    </r>
  </si>
  <si>
    <t>Para el buen funcionamiento de la plantilla es necesario habilitar macros</t>
  </si>
  <si>
    <t>Cédula A</t>
  </si>
  <si>
    <t>SISTEMA DE CORRECCIÓN EN LÍNEA</t>
  </si>
  <si>
    <t>Cedula A</t>
  </si>
  <si>
    <t>SISCONET</t>
  </si>
  <si>
    <t>Desglose de Balanza de Comprobación y Auxiliar de Nóminas</t>
  </si>
  <si>
    <t>x</t>
  </si>
  <si>
    <t>NOMBRE O RAZÓN SOCIAL:</t>
  </si>
  <si>
    <t>PERÍODO QUE REGULARIZA:</t>
  </si>
  <si>
    <t>PERÍODO DEL:</t>
  </si>
  <si>
    <t>V 2.34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</si>
</sst>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.00_);\(&quot;$&quot;#,##0.00\)"/>
    <numFmt numFmtId="165" formatCode="_(&quot;$&quot;* #,##0.00_);_(&quot;$&quot;* \(#,##0.00\);_(&quot;$&quot;* &quot;-&quot;??_);_(@_)"/>
    <numFmt numFmtId="166" formatCode="&quot;$&quot;#,##0.00"/>
  </numFmts>
  <fonts count="15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0"/>
      <color indexed="9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sz val="28"/>
      <name val="Arial"/>
      <family val="2"/>
    </font>
    <font>
      <sz val="22"/>
      <name val="Arial"/>
      <family val="2"/>
    </font>
    <font>
      <sz val="26"/>
      <color indexed="10"/>
      <name val="Arial"/>
      <family val="2"/>
    </font>
    <font>
      <u/>
      <sz val="10"/>
      <name val="Arial"/>
      <family val="2"/>
    </font>
    <font>
      <sz val="10"/>
      <color indexed="9"/>
      <name val="Arial"/>
      <family val="2"/>
    </font>
    <font>
      <sz val="10"/>
      <color indexed="55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87">
    <xf numFmtId="0" fontId="0" fillId="0" borderId="0" xfId="0"/>
    <xf numFmtId="14" fontId="0" fillId="0" borderId="0" xfId="0" applyNumberFormat="1"/>
    <xf numFmtId="0" fontId="5" fillId="0" borderId="1" xfId="0" applyFont="1" applyBorder="1" applyAlignment="1" applyProtection="1">
      <alignment horizontal="center"/>
      <protection hidden="1"/>
    </xf>
    <xf numFmtId="14" fontId="5" fillId="0" borderId="2" xfId="0" applyNumberFormat="1" applyFont="1" applyBorder="1" applyAlignment="1" applyProtection="1">
      <alignment horizontal="center"/>
      <protection hidden="1"/>
    </xf>
    <xf numFmtId="0" fontId="6" fillId="0" borderId="0" xfId="0" applyFont="1" applyFill="1" applyBorder="1" applyProtection="1">
      <protection hidden="1"/>
    </xf>
    <xf numFmtId="0" fontId="6" fillId="0" borderId="0" xfId="0" applyFont="1" applyProtection="1">
      <protection hidden="1"/>
    </xf>
    <xf numFmtId="0" fontId="0" fillId="0" borderId="0" xfId="0" applyProtection="1"/>
    <xf numFmtId="0" fontId="6" fillId="0" borderId="0" xfId="0" applyFont="1" applyProtection="1"/>
    <xf numFmtId="0" fontId="0" fillId="0" borderId="0" xfId="0" applyBorder="1" applyProtection="1"/>
    <xf numFmtId="0" fontId="5" fillId="0" borderId="3" xfId="0" applyFont="1" applyBorder="1" applyAlignment="1" applyProtection="1">
      <alignment horizontal="center" vertical="center"/>
    </xf>
    <xf numFmtId="0" fontId="8" fillId="0" borderId="0" xfId="0" applyFont="1" applyBorder="1" applyProtection="1"/>
    <xf numFmtId="0" fontId="8" fillId="0" borderId="0" xfId="0" applyFont="1" applyProtection="1"/>
    <xf numFmtId="0" fontId="5" fillId="0" borderId="0" xfId="0" applyFont="1" applyBorder="1" applyProtection="1"/>
    <xf numFmtId="0" fontId="4" fillId="0" borderId="0" xfId="0" applyFont="1" applyBorder="1" applyAlignment="1" applyProtection="1">
      <alignment horizontal="center"/>
    </xf>
    <xf numFmtId="0" fontId="4" fillId="0" borderId="0" xfId="0" applyFont="1" applyBorder="1" applyProtection="1"/>
    <xf numFmtId="0" fontId="0" fillId="0" borderId="0" xfId="0" applyBorder="1" applyAlignment="1" applyProtection="1"/>
    <xf numFmtId="0" fontId="0" fillId="0" borderId="0" xfId="0" applyBorder="1" applyAlignment="1" applyProtection="1">
      <alignment horizontal="center"/>
    </xf>
    <xf numFmtId="0" fontId="3" fillId="2" borderId="4" xfId="0" applyFont="1" applyFill="1" applyBorder="1" applyAlignment="1" applyProtection="1">
      <alignment horizontal="center" vertical="center"/>
    </xf>
    <xf numFmtId="0" fontId="3" fillId="2" borderId="5" xfId="0" applyFont="1" applyFill="1" applyBorder="1" applyAlignment="1" applyProtection="1">
      <alignment horizontal="center" vertical="center"/>
    </xf>
    <xf numFmtId="0" fontId="3" fillId="2" borderId="6" xfId="0" applyFon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vertical="center" wrapText="1"/>
    </xf>
    <xf numFmtId="164" fontId="0" fillId="0" borderId="7" xfId="1" applyNumberFormat="1" applyFont="1" applyBorder="1" applyProtection="1">
      <protection hidden="1"/>
    </xf>
    <xf numFmtId="164" fontId="0" fillId="0" borderId="8" xfId="1" applyNumberFormat="1" applyFont="1" applyBorder="1" applyProtection="1">
      <protection hidden="1"/>
    </xf>
    <xf numFmtId="164" fontId="0" fillId="0" borderId="9" xfId="1" applyNumberFormat="1" applyFont="1" applyBorder="1" applyProtection="1">
      <protection hidden="1"/>
    </xf>
    <xf numFmtId="164" fontId="0" fillId="0" borderId="10" xfId="1" applyNumberFormat="1" applyFont="1" applyBorder="1" applyProtection="1">
      <protection hidden="1"/>
    </xf>
    <xf numFmtId="0" fontId="4" fillId="0" borderId="0" xfId="0" applyFont="1"/>
    <xf numFmtId="49" fontId="0" fillId="0" borderId="0" xfId="0" applyNumberFormat="1"/>
    <xf numFmtId="164" fontId="0" fillId="0" borderId="11" xfId="0" applyNumberFormat="1" applyFont="1" applyFill="1" applyBorder="1" applyProtection="1">
      <protection hidden="1"/>
    </xf>
    <xf numFmtId="164" fontId="0" fillId="0" borderId="12" xfId="0" applyNumberFormat="1" applyFont="1" applyFill="1" applyBorder="1" applyProtection="1">
      <protection hidden="1"/>
    </xf>
    <xf numFmtId="164" fontId="0" fillId="0" borderId="12" xfId="1" applyNumberFormat="1" applyFont="1" applyFill="1" applyBorder="1" applyProtection="1">
      <protection hidden="1"/>
    </xf>
    <xf numFmtId="164" fontId="0" fillId="0" borderId="13" xfId="1" applyNumberFormat="1" applyFont="1" applyBorder="1" applyProtection="1">
      <protection hidden="1"/>
    </xf>
    <xf numFmtId="166" fontId="0" fillId="0" borderId="7" xfId="0" applyNumberFormat="1" applyFont="1" applyFill="1" applyBorder="1" applyProtection="1">
      <protection hidden="1"/>
    </xf>
    <xf numFmtId="166" fontId="0" fillId="0" borderId="7" xfId="1" applyNumberFormat="1" applyFont="1" applyFill="1" applyBorder="1" applyProtection="1">
      <protection hidden="1"/>
    </xf>
    <xf numFmtId="166" fontId="0" fillId="0" borderId="14" xfId="0" applyNumberFormat="1" applyFont="1" applyFill="1" applyBorder="1" applyProtection="1">
      <protection hidden="1"/>
    </xf>
    <xf numFmtId="166" fontId="0" fillId="0" borderId="14" xfId="1" applyNumberFormat="1" applyFont="1" applyFill="1" applyBorder="1" applyProtection="1">
      <protection hidden="1"/>
    </xf>
    <xf numFmtId="166" fontId="0" fillId="0" borderId="9" xfId="1" applyNumberFormat="1" applyFont="1" applyBorder="1" applyProtection="1">
      <protection hidden="1"/>
    </xf>
    <xf numFmtId="0" fontId="12" fillId="0" borderId="0" xfId="0" applyFont="1" applyBorder="1" applyProtection="1"/>
    <xf numFmtId="0" fontId="13" fillId="0" borderId="0" xfId="0" applyFont="1" applyBorder="1" applyProtection="1"/>
    <xf numFmtId="0" fontId="14" fillId="0" borderId="0" xfId="0" applyFont="1" applyProtection="1"/>
    <xf numFmtId="49" fontId="0" fillId="0" borderId="0" xfId="0" quotePrefix="1" applyNumberFormat="1"/>
    <xf numFmtId="49" fontId="0" fillId="0" borderId="15" xfId="0" applyNumberFormat="1" applyBorder="1" applyAlignment="1" applyProtection="1">
      <alignment horizontal="left" wrapText="1"/>
    </xf>
    <xf numFmtId="0" fontId="0" fillId="0" borderId="2" xfId="0" applyBorder="1" applyAlignment="1" applyProtection="1">
      <alignment horizontal="left" wrapText="1"/>
    </xf>
    <xf numFmtId="0" fontId="0" fillId="0" borderId="16" xfId="0" applyBorder="1" applyAlignment="1" applyProtection="1">
      <alignment horizontal="left" wrapText="1"/>
    </xf>
    <xf numFmtId="49" fontId="3" fillId="2" borderId="22" xfId="0" applyNumberFormat="1" applyFont="1" applyFill="1" applyBorder="1" applyAlignment="1" applyProtection="1">
      <alignment horizontal="center" vertical="center"/>
    </xf>
    <xf numFmtId="0" fontId="3" fillId="2" borderId="27" xfId="0" applyFont="1" applyFill="1" applyBorder="1" applyAlignment="1" applyProtection="1">
      <alignment horizontal="center" vertical="center"/>
    </xf>
    <xf numFmtId="49" fontId="3" fillId="2" borderId="29" xfId="0" applyNumberFormat="1" applyFont="1" applyFill="1" applyBorder="1" applyAlignment="1" applyProtection="1">
      <alignment horizontal="center" vertical="center"/>
    </xf>
    <xf numFmtId="0" fontId="3" fillId="2" borderId="10" xfId="0" applyFont="1" applyFill="1" applyBorder="1" applyAlignment="1" applyProtection="1">
      <alignment horizontal="center" vertical="center"/>
    </xf>
    <xf numFmtId="0" fontId="4" fillId="0" borderId="26" xfId="0" applyFont="1" applyBorder="1" applyAlignment="1" applyProtection="1">
      <alignment horizontal="left"/>
    </xf>
    <xf numFmtId="0" fontId="4" fillId="0" borderId="27" xfId="0" applyFont="1" applyBorder="1" applyAlignment="1" applyProtection="1">
      <alignment horizontal="left"/>
    </xf>
    <xf numFmtId="0" fontId="7" fillId="0" borderId="0" xfId="0" applyFont="1" applyBorder="1" applyAlignment="1" applyProtection="1">
      <alignment horizontal="center"/>
    </xf>
    <xf numFmtId="0" fontId="5" fillId="0" borderId="1" xfId="0" applyFont="1" applyBorder="1" applyAlignment="1" applyProtection="1">
      <alignment horizontal="left"/>
      <protection hidden="1"/>
    </xf>
    <xf numFmtId="0" fontId="5" fillId="0" borderId="2" xfId="0" applyFont="1" applyBorder="1" applyAlignment="1" applyProtection="1">
      <alignment horizontal="left"/>
      <protection hidden="1"/>
    </xf>
    <xf numFmtId="0" fontId="4" fillId="0" borderId="20" xfId="0" applyFont="1" applyBorder="1" applyAlignment="1" applyProtection="1">
      <alignment horizontal="right"/>
    </xf>
    <xf numFmtId="0" fontId="8" fillId="0" borderId="0" xfId="0" applyFont="1" applyBorder="1" applyAlignment="1" applyProtection="1">
      <alignment horizontal="center"/>
    </xf>
    <xf numFmtId="0" fontId="4" fillId="0" borderId="0" xfId="0" applyFont="1" applyBorder="1" applyAlignment="1" applyProtection="1">
      <alignment horizontal="left" vertical="center" wrapText="1"/>
    </xf>
    <xf numFmtId="0" fontId="0" fillId="0" borderId="0" xfId="0" applyBorder="1" applyAlignment="1" applyProtection="1">
      <alignment horizontal="left" vertical="center" wrapText="1"/>
    </xf>
    <xf numFmtId="0" fontId="0" fillId="0" borderId="17" xfId="0" applyBorder="1" applyAlignment="1" applyProtection="1">
      <alignment horizontal="left" wrapText="1"/>
    </xf>
    <xf numFmtId="0" fontId="0" fillId="0" borderId="18" xfId="0" applyBorder="1" applyAlignment="1" applyProtection="1">
      <alignment horizontal="left" wrapText="1"/>
    </xf>
    <xf numFmtId="0" fontId="0" fillId="0" borderId="19" xfId="0" applyBorder="1" applyAlignment="1" applyProtection="1">
      <alignment horizontal="left" wrapText="1"/>
    </xf>
    <xf numFmtId="0" fontId="5" fillId="0" borderId="1" xfId="0" applyFont="1" applyBorder="1" applyAlignment="1" applyProtection="1">
      <alignment horizontal="center"/>
      <protection hidden="1"/>
    </xf>
    <xf numFmtId="0" fontId="5" fillId="0" borderId="1" xfId="0" applyNumberFormat="1" applyFont="1" applyBorder="1" applyAlignment="1" applyProtection="1">
      <alignment horizontal="left"/>
      <protection hidden="1"/>
    </xf>
    <xf numFmtId="0" fontId="4" fillId="0" borderId="0" xfId="0" applyFont="1" applyBorder="1" applyAlignment="1" applyProtection="1">
      <alignment horizontal="right"/>
    </xf>
    <xf numFmtId="0" fontId="3" fillId="2" borderId="22" xfId="0" applyFont="1" applyFill="1" applyBorder="1" applyAlignment="1" applyProtection="1">
      <alignment horizontal="center" vertical="center"/>
    </xf>
    <xf numFmtId="0" fontId="3" fillId="2" borderId="29" xfId="0" applyFont="1" applyFill="1" applyBorder="1" applyAlignment="1" applyProtection="1">
      <alignment horizontal="center" vertical="center"/>
    </xf>
    <xf numFmtId="0" fontId="5" fillId="0" borderId="0" xfId="0" applyFont="1" applyBorder="1" applyAlignment="1" applyProtection="1">
      <alignment horizontal="center"/>
    </xf>
    <xf numFmtId="0" fontId="3" fillId="2" borderId="21" xfId="0" applyFont="1" applyFill="1" applyBorder="1" applyAlignment="1" applyProtection="1">
      <alignment horizontal="center" vertical="center"/>
    </xf>
    <xf numFmtId="0" fontId="3" fillId="2" borderId="23" xfId="0" applyFont="1" applyFill="1" applyBorder="1" applyAlignment="1" applyProtection="1">
      <alignment horizontal="center" vertical="center"/>
    </xf>
    <xf numFmtId="0" fontId="3" fillId="2" borderId="24" xfId="0" applyFont="1" applyFill="1" applyBorder="1" applyAlignment="1" applyProtection="1">
      <alignment horizontal="center" vertical="center"/>
    </xf>
    <xf numFmtId="0" fontId="3" fillId="2" borderId="0" xfId="0" applyFont="1" applyFill="1" applyBorder="1" applyAlignment="1" applyProtection="1">
      <alignment horizontal="center" vertical="center"/>
    </xf>
    <xf numFmtId="0" fontId="3" fillId="2" borderId="25" xfId="0" applyFont="1" applyFill="1" applyBorder="1" applyAlignment="1" applyProtection="1">
      <alignment horizontal="center" vertical="center"/>
    </xf>
    <xf numFmtId="0" fontId="3" fillId="2" borderId="26" xfId="0" applyFont="1" applyFill="1" applyBorder="1" applyAlignment="1" applyProtection="1">
      <alignment horizontal="center" vertical="center"/>
    </xf>
    <xf numFmtId="0" fontId="3" fillId="2" borderId="28" xfId="0" applyFont="1" applyFill="1" applyBorder="1" applyAlignment="1" applyProtection="1">
      <alignment horizontal="center" vertical="center"/>
    </xf>
    <xf numFmtId="0" fontId="3" fillId="2" borderId="29" xfId="0" applyFont="1" applyFill="1" applyBorder="1" applyAlignment="1" applyProtection="1">
      <alignment horizontal="center" vertical="center" wrapText="1"/>
    </xf>
    <xf numFmtId="0" fontId="3" fillId="2" borderId="30" xfId="0" applyFont="1" applyFill="1" applyBorder="1" applyAlignment="1" applyProtection="1">
      <alignment horizontal="center" vertical="center" wrapText="1"/>
    </xf>
    <xf numFmtId="0" fontId="3" fillId="2" borderId="10" xfId="0" applyFont="1" applyFill="1" applyBorder="1" applyAlignment="1" applyProtection="1">
      <alignment horizontal="center" vertical="center" wrapText="1"/>
    </xf>
    <xf numFmtId="0" fontId="11" fillId="0" borderId="21" xfId="0" applyFont="1" applyBorder="1" applyAlignment="1">
      <alignment horizontal="center" vertical="center" wrapText="1"/>
    </xf>
    <xf numFmtId="0" fontId="11" fillId="0" borderId="22" xfId="0" applyFont="1" applyBorder="1" applyAlignment="1">
      <alignment horizontal="center" vertical="center" wrapText="1"/>
    </xf>
    <xf numFmtId="0" fontId="11" fillId="0" borderId="23" xfId="0" applyFont="1" applyBorder="1" applyAlignment="1">
      <alignment horizontal="center" vertical="center" wrapText="1"/>
    </xf>
    <xf numFmtId="0" fontId="11" fillId="0" borderId="24" xfId="0" applyFont="1" applyBorder="1" applyAlignment="1">
      <alignment horizontal="center" vertical="center" wrapText="1"/>
    </xf>
    <xf numFmtId="0" fontId="11" fillId="0" borderId="0" xfId="0" applyFont="1" applyBorder="1" applyAlignment="1">
      <alignment horizontal="center" vertical="center" wrapText="1"/>
    </xf>
    <xf numFmtId="0" fontId="11" fillId="0" borderId="25" xfId="0" applyFont="1" applyBorder="1" applyAlignment="1">
      <alignment horizontal="center" vertical="center" wrapText="1"/>
    </xf>
    <xf numFmtId="0" fontId="11" fillId="0" borderId="26" xfId="0" applyFont="1" applyBorder="1" applyAlignment="1">
      <alignment horizontal="center" vertical="center" wrapText="1"/>
    </xf>
    <xf numFmtId="0" fontId="11" fillId="0" borderId="27" xfId="0" applyFont="1" applyBorder="1" applyAlignment="1">
      <alignment horizontal="center" vertical="center" wrapText="1"/>
    </xf>
    <xf numFmtId="0" fontId="11" fillId="0" borderId="28" xfId="0" applyFont="1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Moneda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0</xdr:row>
          <xdr:rowOff>152400</xdr:rowOff>
        </xdr:from>
        <xdr:to>
          <xdr:col>2</xdr:col>
          <xdr:colOff>438150</xdr:colOff>
          <xdr:row>6</xdr:row>
          <xdr:rowOff>104775</xdr:rowOff>
        </xdr:to>
        <xdr:sp macro="" textlink="">
          <xdr:nvSpPr>
            <xdr:cNvPr id="3075" name="Image1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419100</xdr:colOff>
          <xdr:row>3</xdr:row>
          <xdr:rowOff>85725</xdr:rowOff>
        </xdr:from>
        <xdr:to>
          <xdr:col>13</xdr:col>
          <xdr:colOff>733425</xdr:colOff>
          <xdr:row>5</xdr:row>
          <xdr:rowOff>123825</xdr:rowOff>
        </xdr:to>
        <xdr:sp macro="" textlink="">
          <xdr:nvSpPr>
            <xdr:cNvPr id="3076" name="Validar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 editAs="absolute">
    <xdr:from>
      <xdr:col>14</xdr:col>
      <xdr:colOff>0</xdr:colOff>
      <xdr:row>5</xdr:row>
      <xdr:rowOff>0</xdr:rowOff>
    </xdr:from>
    <xdr:to>
      <xdr:col>15</xdr:col>
      <xdr:colOff>1074593</xdr:colOff>
      <xdr:row>8</xdr:row>
      <xdr:rowOff>167120</xdr:rowOff>
    </xdr:to>
    <xdr:pic macro="[0]!generartxtCedulaA">
      <xdr:nvPicPr>
        <xdr:cNvPr id="4" name="3 Image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02591" y="1073727"/>
          <a:ext cx="2390775" cy="7039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523875</xdr:colOff>
          <xdr:row>1</xdr:row>
          <xdr:rowOff>66675</xdr:rowOff>
        </xdr:from>
        <xdr:to>
          <xdr:col>2</xdr:col>
          <xdr:colOff>180975</xdr:colOff>
          <xdr:row>7</xdr:row>
          <xdr:rowOff>0</xdr:rowOff>
        </xdr:to>
        <xdr:sp macro="" textlink="">
          <xdr:nvSpPr>
            <xdr:cNvPr id="4097" name="Image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30"/>
  <sheetViews>
    <sheetView workbookViewId="0">
      <selection activeCell="E2" sqref="E2"/>
    </sheetView>
  </sheetViews>
  <sheetFormatPr baseColWidth="10" defaultRowHeight="12.75" x14ac:dyDescent="0.2"/>
  <cols>
    <col min="1" max="1" width="11.5703125" customWidth="1"/>
    <col min="2" max="2" width="17.42578125" style="26" customWidth="1"/>
    <col min="3" max="3" width="46.28515625" customWidth="1"/>
    <col min="4" max="4" width="16.7109375" customWidth="1"/>
    <col min="5" max="5" width="15" customWidth="1"/>
    <col min="7" max="7" width="17.7109375" customWidth="1"/>
    <col min="10" max="10" width="13.28515625" bestFit="1" customWidth="1"/>
    <col min="11" max="11" width="17.140625" bestFit="1" customWidth="1"/>
    <col min="12" max="12" width="25.85546875" customWidth="1"/>
  </cols>
  <sheetData>
    <row r="1" spans="1:12" x14ac:dyDescent="0.2">
      <c r="A1" t="s">
        <v>15</v>
      </c>
      <c r="B1"/>
      <c r="J1" t="s">
        <v>12</v>
      </c>
    </row>
    <row r="2" spans="1:12" x14ac:dyDescent="0.2">
      <c r="A2" t="s">
        <v>18</v>
      </c>
      <c r="B2" t="s">
        <v>16</v>
      </c>
      <c r="C2" t="s">
        <v>13</v>
      </c>
      <c r="D2" t="s">
        <v>14</v>
      </c>
      <c r="E2" t="s">
        <v>32</v>
      </c>
    </row>
    <row r="3" spans="1:12" x14ac:dyDescent="0.2">
      <c r="A3">
        <v>-1</v>
      </c>
      <c r="K3" t="s">
        <v>20</v>
      </c>
    </row>
    <row r="4" spans="1:12" x14ac:dyDescent="0.2">
      <c r="A4">
        <v>0</v>
      </c>
      <c r="B4" s="39"/>
      <c r="K4" t="s">
        <v>19</v>
      </c>
    </row>
    <row r="5" spans="1:12" x14ac:dyDescent="0.2">
      <c r="A5">
        <v>0</v>
      </c>
      <c r="K5" t="s">
        <v>21</v>
      </c>
    </row>
    <row r="6" spans="1:12" x14ac:dyDescent="0.2">
      <c r="K6" t="s">
        <v>22</v>
      </c>
    </row>
    <row r="7" spans="1:12" x14ac:dyDescent="0.2">
      <c r="K7" t="s">
        <v>23</v>
      </c>
    </row>
    <row r="8" spans="1:12" x14ac:dyDescent="0.2">
      <c r="K8" t="s">
        <v>24</v>
      </c>
      <c r="L8" s="1"/>
    </row>
    <row r="9" spans="1:12" x14ac:dyDescent="0.2">
      <c r="K9" t="s">
        <v>25</v>
      </c>
      <c r="L9" s="1"/>
    </row>
    <row r="10" spans="1:12" x14ac:dyDescent="0.2">
      <c r="K10" t="s">
        <v>16</v>
      </c>
      <c r="L10" s="26"/>
    </row>
    <row r="30" spans="1:1" x14ac:dyDescent="0.2">
      <c r="A30">
        <v>1</v>
      </c>
    </row>
  </sheetData>
  <phoneticPr fontId="2" type="noConversion"/>
  <pageMargins left="0.75" right="0.75" top="1" bottom="1" header="0" footer="0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EDA_01"/>
  <dimension ref="A1:R67"/>
  <sheetViews>
    <sheetView showGridLines="0" tabSelected="1" view="pageBreakPreview" zoomScale="55" zoomScaleNormal="70" zoomScaleSheetLayoutView="55" workbookViewId="0">
      <selection activeCell="N22" sqref="N22"/>
    </sheetView>
  </sheetViews>
  <sheetFormatPr baseColWidth="10" defaultRowHeight="12.75" x14ac:dyDescent="0.2"/>
  <cols>
    <col min="1" max="1" width="11.42578125" style="7"/>
    <col min="2" max="2" width="11.42578125" style="6"/>
    <col min="3" max="3" width="10.5703125" style="6" customWidth="1"/>
    <col min="4" max="4" width="12.28515625" style="6" customWidth="1"/>
    <col min="5" max="5" width="13.7109375" style="6" customWidth="1"/>
    <col min="6" max="6" width="11.28515625" style="6" customWidth="1"/>
    <col min="7" max="7" width="9.140625" style="6" customWidth="1"/>
    <col min="8" max="8" width="8.85546875" style="6" customWidth="1"/>
    <col min="9" max="11" width="19.85546875" style="6" customWidth="1"/>
    <col min="12" max="12" width="19.7109375" style="6" customWidth="1"/>
    <col min="13" max="15" width="19.85546875" style="6" customWidth="1"/>
    <col min="16" max="16" width="23.5703125" style="6" customWidth="1"/>
    <col min="17" max="17" width="17.42578125" style="6" customWidth="1"/>
    <col min="18" max="16384" width="11.42578125" style="6"/>
  </cols>
  <sheetData>
    <row r="1" spans="1:18" s="7" customFormat="1" ht="13.5" thickBot="1" x14ac:dyDescent="0.25">
      <c r="A1" s="4"/>
      <c r="B1" s="4" t="str">
        <f ca="1">CELL("address",I19)</f>
        <v>$I$19</v>
      </c>
      <c r="C1" s="4" t="str">
        <f ca="1">CELL("address",N19)</f>
        <v>$N$19</v>
      </c>
      <c r="D1" s="4"/>
      <c r="E1" s="4"/>
      <c r="F1" s="4"/>
      <c r="G1" s="4"/>
      <c r="H1" s="4">
        <f>J1-22+1</f>
        <v>49</v>
      </c>
      <c r="I1" s="4">
        <f>J1-12+1</f>
        <v>59</v>
      </c>
      <c r="J1" s="4">
        <f>ROW(B69)+1</f>
        <v>70</v>
      </c>
      <c r="K1" s="4" t="str">
        <f ca="1">CONCATENATE("$A$1:",ADDRESS(J1,M1))</f>
        <v>$A$1:$P$70</v>
      </c>
      <c r="L1" s="4" t="str">
        <f ca="1">CONCATENATE("$A$1:",ADDRESS(N1,M1))</f>
        <v>$A$1:$P$71</v>
      </c>
      <c r="M1" s="4">
        <f ca="1">CELL("Col",P62)</f>
        <v>16</v>
      </c>
      <c r="N1" s="4">
        <f>ROW(P71)</f>
        <v>71</v>
      </c>
      <c r="O1" s="4" t="str">
        <f ca="1">CELL("address",P71)</f>
        <v>$P$71</v>
      </c>
      <c r="P1" s="4" t="str">
        <f ca="1">CELL("address",P62)</f>
        <v>$P$62</v>
      </c>
      <c r="Q1" s="4"/>
      <c r="R1" s="4"/>
    </row>
    <row r="2" spans="1:18" ht="24" thickBot="1" x14ac:dyDescent="0.4">
      <c r="B2" s="8"/>
      <c r="C2" s="49" t="s">
        <v>0</v>
      </c>
      <c r="D2" s="49"/>
      <c r="E2" s="49"/>
      <c r="F2" s="49"/>
      <c r="G2" s="49"/>
      <c r="H2" s="49"/>
      <c r="I2" s="49"/>
      <c r="J2" s="49"/>
      <c r="K2" s="49"/>
      <c r="L2" s="49"/>
      <c r="M2" s="49"/>
      <c r="N2" s="8"/>
      <c r="O2" s="9" t="s">
        <v>9</v>
      </c>
      <c r="P2" s="8"/>
      <c r="Q2" s="8"/>
    </row>
    <row r="3" spans="1:18" x14ac:dyDescent="0.2"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37">
        <f>+ROW(Q62)</f>
        <v>62</v>
      </c>
      <c r="Q3" s="8"/>
    </row>
    <row r="4" spans="1:18" ht="18" x14ac:dyDescent="0.25">
      <c r="B4" s="8"/>
      <c r="E4" s="53" t="s">
        <v>26</v>
      </c>
      <c r="F4" s="53"/>
      <c r="G4" s="59"/>
      <c r="H4" s="59"/>
      <c r="I4" s="59"/>
      <c r="J4" s="59"/>
      <c r="K4" s="59"/>
      <c r="L4" s="59"/>
      <c r="M4" s="8"/>
      <c r="N4" s="8"/>
      <c r="O4" s="8"/>
      <c r="P4" s="37">
        <f>+COLUMN(N20)</f>
        <v>14</v>
      </c>
      <c r="Q4" s="8"/>
    </row>
    <row r="5" spans="1:18" ht="15.75" x14ac:dyDescent="0.25">
      <c r="B5" s="8"/>
      <c r="E5" s="10"/>
      <c r="F5" s="11"/>
      <c r="G5" s="8"/>
      <c r="H5" s="8"/>
      <c r="I5" s="8"/>
      <c r="J5" s="8"/>
      <c r="K5" s="8"/>
      <c r="L5" s="8"/>
      <c r="M5" s="8"/>
      <c r="N5" s="8"/>
      <c r="O5" s="8"/>
      <c r="Q5" s="8"/>
    </row>
    <row r="6" spans="1:18" ht="18" x14ac:dyDescent="0.25">
      <c r="B6" s="8"/>
      <c r="E6" s="53" t="s">
        <v>27</v>
      </c>
      <c r="F6" s="53"/>
      <c r="G6" s="59"/>
      <c r="H6" s="59"/>
      <c r="I6" s="59"/>
      <c r="J6" s="59"/>
      <c r="K6" s="59"/>
      <c r="L6" s="59"/>
      <c r="M6" s="8"/>
      <c r="N6" s="8"/>
      <c r="O6" s="8"/>
    </row>
    <row r="7" spans="1:18" x14ac:dyDescent="0.2"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</row>
    <row r="8" spans="1:18" x14ac:dyDescent="0.2"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</row>
    <row r="9" spans="1:18" ht="22.5" customHeight="1" x14ac:dyDescent="0.25">
      <c r="B9" s="61" t="s">
        <v>43</v>
      </c>
      <c r="C9" s="61"/>
      <c r="D9" s="61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</row>
    <row r="10" spans="1:18" ht="22.5" customHeight="1" x14ac:dyDescent="0.25">
      <c r="B10" s="61" t="s">
        <v>2</v>
      </c>
      <c r="C10" s="61"/>
      <c r="D10" s="61"/>
      <c r="E10" s="51"/>
      <c r="F10" s="51"/>
      <c r="G10" s="51"/>
      <c r="H10" s="51"/>
      <c r="I10" s="51"/>
      <c r="J10" s="51"/>
      <c r="K10" s="51"/>
      <c r="L10" s="51"/>
      <c r="M10" s="12"/>
      <c r="N10" s="12"/>
      <c r="O10" s="12"/>
    </row>
    <row r="11" spans="1:18" ht="22.5" customHeight="1" x14ac:dyDescent="0.25">
      <c r="B11" s="61" t="s">
        <v>44</v>
      </c>
      <c r="C11" s="61"/>
      <c r="D11" s="61"/>
      <c r="E11" s="13" t="s">
        <v>4</v>
      </c>
      <c r="F11" s="2"/>
      <c r="G11" s="52" t="s">
        <v>45</v>
      </c>
      <c r="H11" s="52"/>
      <c r="I11" s="3"/>
      <c r="J11" s="13" t="s">
        <v>1</v>
      </c>
      <c r="K11" s="3"/>
      <c r="L11" s="14"/>
      <c r="M11" s="14"/>
      <c r="N11" s="14"/>
      <c r="O11" s="14"/>
    </row>
    <row r="12" spans="1:18" ht="22.5" customHeight="1" x14ac:dyDescent="0.25">
      <c r="B12" s="61" t="s">
        <v>17</v>
      </c>
      <c r="C12" s="61"/>
      <c r="D12" s="61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</row>
    <row r="13" spans="1:18" x14ac:dyDescent="0.2">
      <c r="B13" s="8"/>
      <c r="C13" s="8"/>
      <c r="D13" s="15"/>
      <c r="E13" s="15"/>
      <c r="F13" s="15"/>
      <c r="G13" s="15"/>
      <c r="H13" s="15"/>
      <c r="I13" s="8"/>
      <c r="J13" s="8"/>
      <c r="K13" s="8"/>
      <c r="L13" s="8"/>
      <c r="M13" s="36"/>
      <c r="N13" s="8"/>
      <c r="O13" s="8"/>
    </row>
    <row r="14" spans="1:18" x14ac:dyDescent="0.2">
      <c r="B14" s="8"/>
      <c r="C14" s="8"/>
      <c r="D14" s="8"/>
      <c r="E14" s="15"/>
      <c r="F14" s="15"/>
      <c r="G14" s="16"/>
      <c r="H14" s="15"/>
      <c r="I14" s="15"/>
      <c r="J14" s="8"/>
      <c r="K14" s="8"/>
      <c r="L14" s="8"/>
      <c r="M14" s="8"/>
      <c r="N14" s="8"/>
      <c r="O14" s="8"/>
    </row>
    <row r="15" spans="1:18" x14ac:dyDescent="0.2"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</row>
    <row r="16" spans="1:18" ht="18" x14ac:dyDescent="0.25">
      <c r="B16" s="64" t="s">
        <v>5</v>
      </c>
      <c r="C16" s="64"/>
      <c r="D16" s="64"/>
      <c r="E16" s="64"/>
      <c r="F16" s="64"/>
      <c r="G16" s="64"/>
      <c r="H16" s="64"/>
      <c r="I16" s="64"/>
      <c r="J16" s="64"/>
      <c r="K16" s="64"/>
      <c r="L16" s="64"/>
      <c r="M16" s="64"/>
      <c r="N16" s="64"/>
      <c r="O16" s="64"/>
    </row>
    <row r="17" spans="1:15" x14ac:dyDescent="0.2"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</row>
    <row r="18" spans="1:15" ht="13.5" thickBot="1" x14ac:dyDescent="0.25"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</row>
    <row r="19" spans="1:15" ht="15.75" customHeight="1" thickBot="1" x14ac:dyDescent="0.25">
      <c r="B19" s="65" t="s">
        <v>6</v>
      </c>
      <c r="C19" s="62"/>
      <c r="D19" s="62"/>
      <c r="E19" s="62"/>
      <c r="F19" s="62"/>
      <c r="G19" s="62"/>
      <c r="H19" s="66"/>
      <c r="I19" s="17" t="s">
        <v>7</v>
      </c>
      <c r="J19" s="18"/>
      <c r="K19" s="18"/>
      <c r="L19" s="18"/>
      <c r="M19" s="18"/>
      <c r="N19" s="19"/>
      <c r="O19" s="72" t="s">
        <v>8</v>
      </c>
    </row>
    <row r="20" spans="1:15" ht="12.75" customHeight="1" x14ac:dyDescent="0.2">
      <c r="B20" s="67"/>
      <c r="C20" s="68"/>
      <c r="D20" s="68"/>
      <c r="E20" s="68"/>
      <c r="F20" s="68"/>
      <c r="G20" s="68"/>
      <c r="H20" s="69"/>
      <c r="I20" s="43"/>
      <c r="J20" s="45"/>
      <c r="K20" s="45"/>
      <c r="L20" s="45"/>
      <c r="M20" s="63"/>
      <c r="N20" s="62" t="s">
        <v>3</v>
      </c>
      <c r="O20" s="73"/>
    </row>
    <row r="21" spans="1:15" ht="13.5" customHeight="1" thickBot="1" x14ac:dyDescent="0.25">
      <c r="B21" s="70"/>
      <c r="C21" s="44"/>
      <c r="D21" s="44"/>
      <c r="E21" s="44"/>
      <c r="F21" s="44"/>
      <c r="G21" s="44"/>
      <c r="H21" s="71"/>
      <c r="I21" s="44"/>
      <c r="J21" s="46"/>
      <c r="K21" s="46"/>
      <c r="L21" s="46"/>
      <c r="M21" s="46"/>
      <c r="N21" s="44"/>
      <c r="O21" s="74"/>
    </row>
    <row r="22" spans="1:15" ht="12.75" customHeight="1" x14ac:dyDescent="0.2">
      <c r="A22" s="5" t="str">
        <f ca="1">CELL("address",A20)</f>
        <v>$A$20</v>
      </c>
      <c r="B22" s="40" t="s">
        <v>28</v>
      </c>
      <c r="C22" s="41"/>
      <c r="D22" s="41"/>
      <c r="E22" s="41"/>
      <c r="F22" s="41"/>
      <c r="G22" s="41"/>
      <c r="H22" s="42"/>
      <c r="I22" s="31"/>
      <c r="J22" s="31"/>
      <c r="K22" s="32"/>
      <c r="L22" s="32"/>
      <c r="M22" s="32"/>
      <c r="N22" s="21">
        <f t="shared" ref="N22:N61" si="0">SUM(I22:M22)</f>
        <v>0</v>
      </c>
      <c r="O22" s="27"/>
    </row>
    <row r="23" spans="1:15" ht="12.75" customHeight="1" x14ac:dyDescent="0.2">
      <c r="A23" s="5" t="str">
        <f t="shared" ref="A23:A61" ca="1" si="1">A22</f>
        <v>$A$20</v>
      </c>
      <c r="B23" s="40" t="s">
        <v>28</v>
      </c>
      <c r="C23" s="41"/>
      <c r="D23" s="41"/>
      <c r="E23" s="41"/>
      <c r="F23" s="41"/>
      <c r="G23" s="41"/>
      <c r="H23" s="42"/>
      <c r="I23" s="33"/>
      <c r="J23" s="33"/>
      <c r="K23" s="34"/>
      <c r="L23" s="34"/>
      <c r="M23" s="34"/>
      <c r="N23" s="22">
        <f t="shared" si="0"/>
        <v>0</v>
      </c>
      <c r="O23" s="28"/>
    </row>
    <row r="24" spans="1:15" ht="12.75" customHeight="1" x14ac:dyDescent="0.2">
      <c r="A24" s="5" t="str">
        <f t="shared" ca="1" si="1"/>
        <v>$A$20</v>
      </c>
      <c r="B24" s="40" t="s">
        <v>28</v>
      </c>
      <c r="C24" s="41"/>
      <c r="D24" s="41"/>
      <c r="E24" s="41"/>
      <c r="F24" s="41"/>
      <c r="G24" s="41"/>
      <c r="H24" s="42"/>
      <c r="I24" s="33"/>
      <c r="J24" s="33"/>
      <c r="K24" s="34"/>
      <c r="L24" s="34"/>
      <c r="M24" s="34"/>
      <c r="N24" s="22">
        <f t="shared" si="0"/>
        <v>0</v>
      </c>
      <c r="O24" s="28"/>
    </row>
    <row r="25" spans="1:15" x14ac:dyDescent="0.2">
      <c r="A25" s="5" t="str">
        <f t="shared" ca="1" si="1"/>
        <v>$A$20</v>
      </c>
      <c r="B25" s="40" t="s">
        <v>28</v>
      </c>
      <c r="C25" s="41"/>
      <c r="D25" s="41"/>
      <c r="E25" s="41"/>
      <c r="F25" s="41"/>
      <c r="G25" s="41"/>
      <c r="H25" s="42"/>
      <c r="I25" s="34"/>
      <c r="J25" s="34"/>
      <c r="K25" s="34"/>
      <c r="L25" s="34"/>
      <c r="M25" s="34"/>
      <c r="N25" s="22">
        <f t="shared" si="0"/>
        <v>0</v>
      </c>
      <c r="O25" s="29"/>
    </row>
    <row r="26" spans="1:15" x14ac:dyDescent="0.2">
      <c r="A26" s="5" t="str">
        <f t="shared" ca="1" si="1"/>
        <v>$A$20</v>
      </c>
      <c r="B26" s="40" t="s">
        <v>28</v>
      </c>
      <c r="C26" s="41"/>
      <c r="D26" s="41"/>
      <c r="E26" s="41"/>
      <c r="F26" s="41"/>
      <c r="G26" s="41"/>
      <c r="H26" s="42"/>
      <c r="I26" s="34"/>
      <c r="J26" s="34"/>
      <c r="K26" s="34"/>
      <c r="L26" s="34"/>
      <c r="M26" s="34"/>
      <c r="N26" s="22">
        <f t="shared" si="0"/>
        <v>0</v>
      </c>
      <c r="O26" s="29"/>
    </row>
    <row r="27" spans="1:15" x14ac:dyDescent="0.2">
      <c r="A27" s="5" t="str">
        <f t="shared" ca="1" si="1"/>
        <v>$A$20</v>
      </c>
      <c r="B27" s="40" t="s">
        <v>28</v>
      </c>
      <c r="C27" s="41"/>
      <c r="D27" s="41"/>
      <c r="E27" s="41"/>
      <c r="F27" s="41"/>
      <c r="G27" s="41"/>
      <c r="H27" s="42"/>
      <c r="I27" s="34"/>
      <c r="J27" s="34"/>
      <c r="K27" s="34"/>
      <c r="L27" s="34"/>
      <c r="M27" s="34"/>
      <c r="N27" s="22">
        <f t="shared" si="0"/>
        <v>0</v>
      </c>
      <c r="O27" s="29"/>
    </row>
    <row r="28" spans="1:15" x14ac:dyDescent="0.2">
      <c r="A28" s="5" t="str">
        <f t="shared" ca="1" si="1"/>
        <v>$A$20</v>
      </c>
      <c r="B28" s="40" t="s">
        <v>28</v>
      </c>
      <c r="C28" s="41"/>
      <c r="D28" s="41"/>
      <c r="E28" s="41"/>
      <c r="F28" s="41"/>
      <c r="G28" s="41"/>
      <c r="H28" s="42"/>
      <c r="I28" s="34"/>
      <c r="J28" s="34"/>
      <c r="K28" s="34"/>
      <c r="L28" s="34"/>
      <c r="M28" s="34"/>
      <c r="N28" s="22">
        <f t="shared" si="0"/>
        <v>0</v>
      </c>
      <c r="O28" s="29"/>
    </row>
    <row r="29" spans="1:15" x14ac:dyDescent="0.2">
      <c r="A29" s="5" t="str">
        <f t="shared" ca="1" si="1"/>
        <v>$A$20</v>
      </c>
      <c r="B29" s="40" t="s">
        <v>28</v>
      </c>
      <c r="C29" s="41"/>
      <c r="D29" s="41"/>
      <c r="E29" s="41"/>
      <c r="F29" s="41"/>
      <c r="G29" s="41"/>
      <c r="H29" s="42"/>
      <c r="I29" s="34"/>
      <c r="J29" s="34"/>
      <c r="K29" s="34"/>
      <c r="L29" s="34"/>
      <c r="M29" s="34"/>
      <c r="N29" s="22">
        <f t="shared" si="0"/>
        <v>0</v>
      </c>
      <c r="O29" s="29"/>
    </row>
    <row r="30" spans="1:15" x14ac:dyDescent="0.2">
      <c r="A30" s="5" t="str">
        <f t="shared" ca="1" si="1"/>
        <v>$A$20</v>
      </c>
      <c r="B30" s="40" t="s">
        <v>28</v>
      </c>
      <c r="C30" s="41"/>
      <c r="D30" s="41"/>
      <c r="E30" s="41"/>
      <c r="F30" s="41"/>
      <c r="G30" s="41"/>
      <c r="H30" s="42"/>
      <c r="I30" s="34"/>
      <c r="J30" s="34"/>
      <c r="K30" s="34"/>
      <c r="L30" s="34"/>
      <c r="M30" s="34"/>
      <c r="N30" s="22">
        <f t="shared" si="0"/>
        <v>0</v>
      </c>
      <c r="O30" s="29"/>
    </row>
    <row r="31" spans="1:15" x14ac:dyDescent="0.2">
      <c r="A31" s="5" t="str">
        <f t="shared" ca="1" si="1"/>
        <v>$A$20</v>
      </c>
      <c r="B31" s="40" t="s">
        <v>28</v>
      </c>
      <c r="C31" s="41"/>
      <c r="D31" s="41"/>
      <c r="E31" s="41"/>
      <c r="F31" s="41"/>
      <c r="G31" s="41"/>
      <c r="H31" s="42"/>
      <c r="I31" s="34"/>
      <c r="J31" s="34"/>
      <c r="K31" s="34"/>
      <c r="L31" s="34"/>
      <c r="M31" s="34"/>
      <c r="N31" s="22">
        <f t="shared" si="0"/>
        <v>0</v>
      </c>
      <c r="O31" s="29"/>
    </row>
    <row r="32" spans="1:15" x14ac:dyDescent="0.2">
      <c r="A32" s="5" t="str">
        <f t="shared" ca="1" si="1"/>
        <v>$A$20</v>
      </c>
      <c r="B32" s="40" t="s">
        <v>28</v>
      </c>
      <c r="C32" s="41"/>
      <c r="D32" s="41"/>
      <c r="E32" s="41"/>
      <c r="F32" s="41"/>
      <c r="G32" s="41"/>
      <c r="H32" s="42"/>
      <c r="I32" s="34"/>
      <c r="J32" s="34"/>
      <c r="K32" s="34"/>
      <c r="L32" s="34"/>
      <c r="M32" s="34"/>
      <c r="N32" s="22">
        <f t="shared" si="0"/>
        <v>0</v>
      </c>
      <c r="O32" s="29"/>
    </row>
    <row r="33" spans="1:15" x14ac:dyDescent="0.2">
      <c r="A33" s="5" t="str">
        <f t="shared" ca="1" si="1"/>
        <v>$A$20</v>
      </c>
      <c r="B33" s="40" t="s">
        <v>28</v>
      </c>
      <c r="C33" s="41"/>
      <c r="D33" s="41"/>
      <c r="E33" s="41"/>
      <c r="F33" s="41"/>
      <c r="G33" s="41"/>
      <c r="H33" s="42"/>
      <c r="I33" s="34"/>
      <c r="J33" s="34"/>
      <c r="K33" s="34"/>
      <c r="L33" s="34"/>
      <c r="M33" s="34"/>
      <c r="N33" s="22">
        <f t="shared" si="0"/>
        <v>0</v>
      </c>
      <c r="O33" s="29"/>
    </row>
    <row r="34" spans="1:15" x14ac:dyDescent="0.2">
      <c r="A34" s="5" t="str">
        <f t="shared" ca="1" si="1"/>
        <v>$A$20</v>
      </c>
      <c r="B34" s="40" t="s">
        <v>28</v>
      </c>
      <c r="C34" s="41"/>
      <c r="D34" s="41"/>
      <c r="E34" s="41"/>
      <c r="F34" s="41"/>
      <c r="G34" s="41"/>
      <c r="H34" s="42"/>
      <c r="I34" s="34"/>
      <c r="J34" s="34"/>
      <c r="K34" s="34"/>
      <c r="L34" s="34"/>
      <c r="M34" s="34"/>
      <c r="N34" s="22">
        <f t="shared" si="0"/>
        <v>0</v>
      </c>
      <c r="O34" s="29"/>
    </row>
    <row r="35" spans="1:15" x14ac:dyDescent="0.2">
      <c r="A35" s="5" t="str">
        <f t="shared" ca="1" si="1"/>
        <v>$A$20</v>
      </c>
      <c r="B35" s="40" t="s">
        <v>28</v>
      </c>
      <c r="C35" s="41"/>
      <c r="D35" s="41"/>
      <c r="E35" s="41"/>
      <c r="F35" s="41"/>
      <c r="G35" s="41"/>
      <c r="H35" s="42"/>
      <c r="I35" s="34"/>
      <c r="J35" s="34"/>
      <c r="K35" s="34"/>
      <c r="L35" s="34"/>
      <c r="M35" s="34"/>
      <c r="N35" s="22">
        <f t="shared" si="0"/>
        <v>0</v>
      </c>
      <c r="O35" s="29"/>
    </row>
    <row r="36" spans="1:15" x14ac:dyDescent="0.2">
      <c r="A36" s="5" t="str">
        <f t="shared" ca="1" si="1"/>
        <v>$A$20</v>
      </c>
      <c r="B36" s="40" t="s">
        <v>28</v>
      </c>
      <c r="C36" s="41"/>
      <c r="D36" s="41"/>
      <c r="E36" s="41"/>
      <c r="F36" s="41"/>
      <c r="G36" s="41"/>
      <c r="H36" s="42"/>
      <c r="I36" s="34"/>
      <c r="J36" s="34"/>
      <c r="K36" s="34"/>
      <c r="L36" s="34"/>
      <c r="M36" s="34"/>
      <c r="N36" s="22">
        <f t="shared" si="0"/>
        <v>0</v>
      </c>
      <c r="O36" s="29"/>
    </row>
    <row r="37" spans="1:15" x14ac:dyDescent="0.2">
      <c r="A37" s="5" t="str">
        <f t="shared" ca="1" si="1"/>
        <v>$A$20</v>
      </c>
      <c r="B37" s="40" t="s">
        <v>28</v>
      </c>
      <c r="C37" s="41"/>
      <c r="D37" s="41"/>
      <c r="E37" s="41"/>
      <c r="F37" s="41"/>
      <c r="G37" s="41"/>
      <c r="H37" s="42"/>
      <c r="I37" s="34"/>
      <c r="J37" s="34"/>
      <c r="K37" s="34"/>
      <c r="L37" s="34"/>
      <c r="M37" s="34"/>
      <c r="N37" s="22">
        <f t="shared" si="0"/>
        <v>0</v>
      </c>
      <c r="O37" s="29"/>
    </row>
    <row r="38" spans="1:15" x14ac:dyDescent="0.2">
      <c r="A38" s="5" t="str">
        <f t="shared" ca="1" si="1"/>
        <v>$A$20</v>
      </c>
      <c r="B38" s="40" t="s">
        <v>28</v>
      </c>
      <c r="C38" s="41"/>
      <c r="D38" s="41"/>
      <c r="E38" s="41"/>
      <c r="F38" s="41"/>
      <c r="G38" s="41"/>
      <c r="H38" s="42"/>
      <c r="I38" s="34"/>
      <c r="J38" s="34"/>
      <c r="K38" s="34"/>
      <c r="L38" s="34"/>
      <c r="M38" s="34"/>
      <c r="N38" s="22">
        <f t="shared" si="0"/>
        <v>0</v>
      </c>
      <c r="O38" s="29"/>
    </row>
    <row r="39" spans="1:15" x14ac:dyDescent="0.2">
      <c r="A39" s="5" t="str">
        <f t="shared" ca="1" si="1"/>
        <v>$A$20</v>
      </c>
      <c r="B39" s="40" t="s">
        <v>28</v>
      </c>
      <c r="C39" s="41"/>
      <c r="D39" s="41"/>
      <c r="E39" s="41"/>
      <c r="F39" s="41"/>
      <c r="G39" s="41"/>
      <c r="H39" s="42"/>
      <c r="I39" s="34"/>
      <c r="J39" s="34"/>
      <c r="K39" s="34"/>
      <c r="L39" s="34"/>
      <c r="M39" s="34"/>
      <c r="N39" s="22">
        <f t="shared" si="0"/>
        <v>0</v>
      </c>
      <c r="O39" s="29"/>
    </row>
    <row r="40" spans="1:15" x14ac:dyDescent="0.2">
      <c r="A40" s="5" t="str">
        <f t="shared" ca="1" si="1"/>
        <v>$A$20</v>
      </c>
      <c r="B40" s="40" t="s">
        <v>28</v>
      </c>
      <c r="C40" s="41"/>
      <c r="D40" s="41"/>
      <c r="E40" s="41"/>
      <c r="F40" s="41"/>
      <c r="G40" s="41"/>
      <c r="H40" s="42"/>
      <c r="I40" s="34"/>
      <c r="J40" s="34"/>
      <c r="K40" s="34"/>
      <c r="L40" s="34"/>
      <c r="M40" s="34"/>
      <c r="N40" s="22">
        <f t="shared" si="0"/>
        <v>0</v>
      </c>
      <c r="O40" s="29"/>
    </row>
    <row r="41" spans="1:15" x14ac:dyDescent="0.2">
      <c r="A41" s="5" t="str">
        <f t="shared" ca="1" si="1"/>
        <v>$A$20</v>
      </c>
      <c r="B41" s="40" t="s">
        <v>28</v>
      </c>
      <c r="C41" s="41"/>
      <c r="D41" s="41"/>
      <c r="E41" s="41"/>
      <c r="F41" s="41"/>
      <c r="G41" s="41"/>
      <c r="H41" s="42"/>
      <c r="I41" s="34"/>
      <c r="J41" s="34"/>
      <c r="K41" s="34"/>
      <c r="L41" s="34"/>
      <c r="M41" s="34"/>
      <c r="N41" s="22">
        <f t="shared" si="0"/>
        <v>0</v>
      </c>
      <c r="O41" s="29"/>
    </row>
    <row r="42" spans="1:15" x14ac:dyDescent="0.2">
      <c r="A42" s="5" t="str">
        <f t="shared" ca="1" si="1"/>
        <v>$A$20</v>
      </c>
      <c r="B42" s="40" t="s">
        <v>28</v>
      </c>
      <c r="C42" s="41"/>
      <c r="D42" s="41"/>
      <c r="E42" s="41"/>
      <c r="F42" s="41"/>
      <c r="G42" s="41"/>
      <c r="H42" s="42"/>
      <c r="I42" s="34"/>
      <c r="J42" s="34"/>
      <c r="K42" s="34"/>
      <c r="L42" s="34"/>
      <c r="M42" s="34"/>
      <c r="N42" s="22">
        <f t="shared" si="0"/>
        <v>0</v>
      </c>
      <c r="O42" s="29"/>
    </row>
    <row r="43" spans="1:15" x14ac:dyDescent="0.2">
      <c r="A43" s="5" t="str">
        <f t="shared" ca="1" si="1"/>
        <v>$A$20</v>
      </c>
      <c r="B43" s="40" t="s">
        <v>28</v>
      </c>
      <c r="C43" s="41"/>
      <c r="D43" s="41"/>
      <c r="E43" s="41"/>
      <c r="F43" s="41"/>
      <c r="G43" s="41"/>
      <c r="H43" s="42"/>
      <c r="I43" s="34"/>
      <c r="J43" s="34"/>
      <c r="K43" s="34"/>
      <c r="L43" s="34"/>
      <c r="M43" s="34"/>
      <c r="N43" s="22">
        <f t="shared" si="0"/>
        <v>0</v>
      </c>
      <c r="O43" s="29"/>
    </row>
    <row r="44" spans="1:15" x14ac:dyDescent="0.2">
      <c r="A44" s="5" t="str">
        <f t="shared" ca="1" si="1"/>
        <v>$A$20</v>
      </c>
      <c r="B44" s="40" t="s">
        <v>28</v>
      </c>
      <c r="C44" s="41"/>
      <c r="D44" s="41"/>
      <c r="E44" s="41"/>
      <c r="F44" s="41"/>
      <c r="G44" s="41"/>
      <c r="H44" s="42"/>
      <c r="I44" s="34"/>
      <c r="J44" s="34"/>
      <c r="K44" s="34"/>
      <c r="L44" s="34"/>
      <c r="M44" s="34"/>
      <c r="N44" s="22">
        <f t="shared" si="0"/>
        <v>0</v>
      </c>
      <c r="O44" s="29"/>
    </row>
    <row r="45" spans="1:15" x14ac:dyDescent="0.2">
      <c r="A45" s="5" t="str">
        <f t="shared" ca="1" si="1"/>
        <v>$A$20</v>
      </c>
      <c r="B45" s="40" t="s">
        <v>28</v>
      </c>
      <c r="C45" s="41"/>
      <c r="D45" s="41"/>
      <c r="E45" s="41"/>
      <c r="F45" s="41"/>
      <c r="G45" s="41"/>
      <c r="H45" s="42"/>
      <c r="I45" s="34"/>
      <c r="J45" s="34"/>
      <c r="K45" s="34"/>
      <c r="L45" s="34"/>
      <c r="M45" s="34"/>
      <c r="N45" s="22">
        <f t="shared" si="0"/>
        <v>0</v>
      </c>
      <c r="O45" s="29"/>
    </row>
    <row r="46" spans="1:15" x14ac:dyDescent="0.2">
      <c r="A46" s="5" t="str">
        <f t="shared" ca="1" si="1"/>
        <v>$A$20</v>
      </c>
      <c r="B46" s="40" t="s">
        <v>28</v>
      </c>
      <c r="C46" s="41"/>
      <c r="D46" s="41"/>
      <c r="E46" s="41"/>
      <c r="F46" s="41"/>
      <c r="G46" s="41"/>
      <c r="H46" s="42"/>
      <c r="I46" s="34"/>
      <c r="J46" s="34"/>
      <c r="K46" s="34"/>
      <c r="L46" s="34"/>
      <c r="M46" s="34"/>
      <c r="N46" s="22">
        <f t="shared" si="0"/>
        <v>0</v>
      </c>
      <c r="O46" s="29"/>
    </row>
    <row r="47" spans="1:15" x14ac:dyDescent="0.2">
      <c r="A47" s="5" t="str">
        <f t="shared" ca="1" si="1"/>
        <v>$A$20</v>
      </c>
      <c r="B47" s="40" t="s">
        <v>28</v>
      </c>
      <c r="C47" s="41"/>
      <c r="D47" s="41"/>
      <c r="E47" s="41"/>
      <c r="F47" s="41"/>
      <c r="G47" s="41"/>
      <c r="H47" s="42"/>
      <c r="I47" s="34"/>
      <c r="J47" s="34"/>
      <c r="K47" s="34"/>
      <c r="L47" s="34"/>
      <c r="M47" s="34"/>
      <c r="N47" s="22">
        <f t="shared" si="0"/>
        <v>0</v>
      </c>
      <c r="O47" s="29"/>
    </row>
    <row r="48" spans="1:15" x14ac:dyDescent="0.2">
      <c r="A48" s="5" t="str">
        <f t="shared" ca="1" si="1"/>
        <v>$A$20</v>
      </c>
      <c r="B48" s="40" t="s">
        <v>28</v>
      </c>
      <c r="C48" s="41"/>
      <c r="D48" s="41"/>
      <c r="E48" s="41"/>
      <c r="F48" s="41"/>
      <c r="G48" s="41"/>
      <c r="H48" s="42"/>
      <c r="I48" s="34"/>
      <c r="J48" s="34"/>
      <c r="K48" s="34"/>
      <c r="L48" s="34"/>
      <c r="M48" s="34"/>
      <c r="N48" s="22">
        <f t="shared" si="0"/>
        <v>0</v>
      </c>
      <c r="O48" s="29"/>
    </row>
    <row r="49" spans="1:17" x14ac:dyDescent="0.2">
      <c r="A49" s="5" t="str">
        <f t="shared" ca="1" si="1"/>
        <v>$A$20</v>
      </c>
      <c r="B49" s="40" t="s">
        <v>28</v>
      </c>
      <c r="C49" s="41"/>
      <c r="D49" s="41"/>
      <c r="E49" s="41"/>
      <c r="F49" s="41"/>
      <c r="G49" s="41"/>
      <c r="H49" s="42"/>
      <c r="I49" s="34"/>
      <c r="J49" s="34"/>
      <c r="K49" s="34"/>
      <c r="L49" s="34"/>
      <c r="M49" s="34"/>
      <c r="N49" s="22">
        <f t="shared" si="0"/>
        <v>0</v>
      </c>
      <c r="O49" s="29"/>
    </row>
    <row r="50" spans="1:17" x14ac:dyDescent="0.2">
      <c r="A50" s="5" t="str">
        <f t="shared" ca="1" si="1"/>
        <v>$A$20</v>
      </c>
      <c r="B50" s="40" t="s">
        <v>28</v>
      </c>
      <c r="C50" s="41"/>
      <c r="D50" s="41"/>
      <c r="E50" s="41"/>
      <c r="F50" s="41"/>
      <c r="G50" s="41"/>
      <c r="H50" s="42"/>
      <c r="I50" s="34"/>
      <c r="J50" s="34"/>
      <c r="K50" s="34"/>
      <c r="L50" s="34"/>
      <c r="M50" s="34"/>
      <c r="N50" s="22">
        <f t="shared" si="0"/>
        <v>0</v>
      </c>
      <c r="O50" s="29"/>
    </row>
    <row r="51" spans="1:17" x14ac:dyDescent="0.2">
      <c r="A51" s="5" t="str">
        <f t="shared" ca="1" si="1"/>
        <v>$A$20</v>
      </c>
      <c r="B51" s="40" t="s">
        <v>28</v>
      </c>
      <c r="C51" s="41"/>
      <c r="D51" s="41"/>
      <c r="E51" s="41"/>
      <c r="F51" s="41"/>
      <c r="G51" s="41"/>
      <c r="H51" s="42"/>
      <c r="I51" s="34"/>
      <c r="J51" s="34"/>
      <c r="K51" s="34"/>
      <c r="L51" s="34"/>
      <c r="M51" s="34"/>
      <c r="N51" s="22">
        <f t="shared" si="0"/>
        <v>0</v>
      </c>
      <c r="O51" s="29"/>
    </row>
    <row r="52" spans="1:17" x14ac:dyDescent="0.2">
      <c r="A52" s="5" t="str">
        <f t="shared" ca="1" si="1"/>
        <v>$A$20</v>
      </c>
      <c r="B52" s="40" t="s">
        <v>28</v>
      </c>
      <c r="C52" s="41"/>
      <c r="D52" s="41"/>
      <c r="E52" s="41"/>
      <c r="F52" s="41"/>
      <c r="G52" s="41"/>
      <c r="H52" s="42"/>
      <c r="I52" s="34"/>
      <c r="J52" s="34"/>
      <c r="K52" s="34"/>
      <c r="L52" s="34"/>
      <c r="M52" s="34"/>
      <c r="N52" s="22">
        <f t="shared" si="0"/>
        <v>0</v>
      </c>
      <c r="O52" s="29"/>
    </row>
    <row r="53" spans="1:17" x14ac:dyDescent="0.2">
      <c r="A53" s="5" t="str">
        <f t="shared" ca="1" si="1"/>
        <v>$A$20</v>
      </c>
      <c r="B53" s="40" t="s">
        <v>28</v>
      </c>
      <c r="C53" s="41"/>
      <c r="D53" s="41"/>
      <c r="E53" s="41"/>
      <c r="F53" s="41"/>
      <c r="G53" s="41"/>
      <c r="H53" s="42"/>
      <c r="I53" s="34"/>
      <c r="J53" s="34"/>
      <c r="K53" s="34"/>
      <c r="L53" s="34"/>
      <c r="M53" s="34"/>
      <c r="N53" s="22">
        <f t="shared" si="0"/>
        <v>0</v>
      </c>
      <c r="O53" s="29"/>
    </row>
    <row r="54" spans="1:17" x14ac:dyDescent="0.2">
      <c r="A54" s="5" t="str">
        <f t="shared" ca="1" si="1"/>
        <v>$A$20</v>
      </c>
      <c r="B54" s="40" t="s">
        <v>28</v>
      </c>
      <c r="C54" s="41"/>
      <c r="D54" s="41"/>
      <c r="E54" s="41"/>
      <c r="F54" s="41"/>
      <c r="G54" s="41"/>
      <c r="H54" s="42"/>
      <c r="I54" s="34"/>
      <c r="J54" s="34"/>
      <c r="K54" s="34"/>
      <c r="L54" s="34"/>
      <c r="M54" s="34"/>
      <c r="N54" s="22">
        <f t="shared" si="0"/>
        <v>0</v>
      </c>
      <c r="O54" s="29"/>
    </row>
    <row r="55" spans="1:17" x14ac:dyDescent="0.2">
      <c r="A55" s="5" t="str">
        <f t="shared" ca="1" si="1"/>
        <v>$A$20</v>
      </c>
      <c r="B55" s="40" t="s">
        <v>28</v>
      </c>
      <c r="C55" s="41"/>
      <c r="D55" s="41"/>
      <c r="E55" s="41"/>
      <c r="F55" s="41"/>
      <c r="G55" s="41"/>
      <c r="H55" s="42"/>
      <c r="I55" s="34"/>
      <c r="J55" s="34"/>
      <c r="K55" s="34"/>
      <c r="L55" s="34"/>
      <c r="M55" s="34"/>
      <c r="N55" s="22">
        <f t="shared" si="0"/>
        <v>0</v>
      </c>
      <c r="O55" s="29"/>
    </row>
    <row r="56" spans="1:17" x14ac:dyDescent="0.2">
      <c r="A56" s="5" t="str">
        <f t="shared" ca="1" si="1"/>
        <v>$A$20</v>
      </c>
      <c r="B56" s="40" t="s">
        <v>28</v>
      </c>
      <c r="C56" s="41"/>
      <c r="D56" s="41"/>
      <c r="E56" s="41"/>
      <c r="F56" s="41"/>
      <c r="G56" s="41"/>
      <c r="H56" s="42"/>
      <c r="I56" s="34"/>
      <c r="J56" s="34"/>
      <c r="K56" s="34"/>
      <c r="L56" s="34"/>
      <c r="M56" s="34"/>
      <c r="N56" s="22">
        <f t="shared" si="0"/>
        <v>0</v>
      </c>
      <c r="O56" s="29"/>
    </row>
    <row r="57" spans="1:17" x14ac:dyDescent="0.2">
      <c r="A57" s="5" t="str">
        <f t="shared" ca="1" si="1"/>
        <v>$A$20</v>
      </c>
      <c r="B57" s="40" t="s">
        <v>28</v>
      </c>
      <c r="C57" s="41"/>
      <c r="D57" s="41"/>
      <c r="E57" s="41"/>
      <c r="F57" s="41"/>
      <c r="G57" s="41"/>
      <c r="H57" s="42"/>
      <c r="I57" s="34"/>
      <c r="J57" s="34"/>
      <c r="K57" s="34"/>
      <c r="L57" s="34"/>
      <c r="M57" s="34"/>
      <c r="N57" s="22">
        <f t="shared" si="0"/>
        <v>0</v>
      </c>
      <c r="O57" s="29"/>
    </row>
    <row r="58" spans="1:17" x14ac:dyDescent="0.2">
      <c r="A58" s="5" t="str">
        <f t="shared" ca="1" si="1"/>
        <v>$A$20</v>
      </c>
      <c r="B58" s="40" t="s">
        <v>28</v>
      </c>
      <c r="C58" s="41"/>
      <c r="D58" s="41"/>
      <c r="E58" s="41"/>
      <c r="F58" s="41"/>
      <c r="G58" s="41"/>
      <c r="H58" s="42"/>
      <c r="I58" s="34"/>
      <c r="J58" s="34"/>
      <c r="K58" s="34"/>
      <c r="L58" s="34"/>
      <c r="M58" s="34"/>
      <c r="N58" s="22">
        <f t="shared" si="0"/>
        <v>0</v>
      </c>
      <c r="O58" s="29"/>
    </row>
    <row r="59" spans="1:17" x14ac:dyDescent="0.2">
      <c r="A59" s="5" t="str">
        <f t="shared" ca="1" si="1"/>
        <v>$A$20</v>
      </c>
      <c r="B59" s="40" t="s">
        <v>28</v>
      </c>
      <c r="C59" s="41"/>
      <c r="D59" s="41"/>
      <c r="E59" s="41"/>
      <c r="F59" s="41"/>
      <c r="G59" s="41"/>
      <c r="H59" s="42"/>
      <c r="I59" s="34"/>
      <c r="J59" s="34"/>
      <c r="K59" s="34"/>
      <c r="L59" s="34"/>
      <c r="M59" s="34"/>
      <c r="N59" s="22">
        <f t="shared" si="0"/>
        <v>0</v>
      </c>
      <c r="O59" s="29"/>
    </row>
    <row r="60" spans="1:17" x14ac:dyDescent="0.2">
      <c r="A60" s="5" t="str">
        <f t="shared" ca="1" si="1"/>
        <v>$A$20</v>
      </c>
      <c r="B60" s="40" t="s">
        <v>28</v>
      </c>
      <c r="C60" s="41"/>
      <c r="D60" s="41"/>
      <c r="E60" s="41"/>
      <c r="F60" s="41"/>
      <c r="G60" s="41"/>
      <c r="H60" s="42"/>
      <c r="I60" s="34"/>
      <c r="J60" s="34"/>
      <c r="K60" s="34"/>
      <c r="L60" s="34"/>
      <c r="M60" s="34"/>
      <c r="N60" s="22">
        <f t="shared" si="0"/>
        <v>0</v>
      </c>
      <c r="O60" s="29"/>
    </row>
    <row r="61" spans="1:17" ht="13.5" thickBot="1" x14ac:dyDescent="0.25">
      <c r="A61" s="5" t="str">
        <f t="shared" ca="1" si="1"/>
        <v>$A$20</v>
      </c>
      <c r="B61" s="56" t="s">
        <v>28</v>
      </c>
      <c r="C61" s="57"/>
      <c r="D61" s="57"/>
      <c r="E61" s="57"/>
      <c r="F61" s="57"/>
      <c r="G61" s="57"/>
      <c r="H61" s="58"/>
      <c r="I61" s="35"/>
      <c r="J61" s="35"/>
      <c r="K61" s="35"/>
      <c r="L61" s="35"/>
      <c r="M61" s="35"/>
      <c r="N61" s="23">
        <f t="shared" si="0"/>
        <v>0</v>
      </c>
      <c r="O61" s="30"/>
    </row>
    <row r="62" spans="1:17" ht="13.5" thickBot="1" x14ac:dyDescent="0.25">
      <c r="B62" s="47" t="s">
        <v>3</v>
      </c>
      <c r="C62" s="48"/>
      <c r="D62" s="48"/>
      <c r="E62" s="48"/>
      <c r="F62" s="48"/>
      <c r="G62" s="48"/>
      <c r="H62" s="48"/>
      <c r="I62" s="24">
        <f t="shared" ref="I62:O62" si="2">SUM(I22:I61)</f>
        <v>0</v>
      </c>
      <c r="J62" s="24">
        <f t="shared" si="2"/>
        <v>0</v>
      </c>
      <c r="K62" s="24">
        <f t="shared" si="2"/>
        <v>0</v>
      </c>
      <c r="L62" s="24">
        <f t="shared" si="2"/>
        <v>0</v>
      </c>
      <c r="M62" s="24">
        <f t="shared" si="2"/>
        <v>0</v>
      </c>
      <c r="N62" s="24">
        <f t="shared" si="2"/>
        <v>0</v>
      </c>
      <c r="O62" s="24">
        <f t="shared" si="2"/>
        <v>0</v>
      </c>
      <c r="Q62" s="38" t="s">
        <v>42</v>
      </c>
    </row>
    <row r="63" spans="1:17" x14ac:dyDescent="0.2"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</row>
    <row r="64" spans="1:17" x14ac:dyDescent="0.2"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</row>
    <row r="65" spans="2:15" ht="12.75" customHeight="1" x14ac:dyDescent="0.2">
      <c r="B65" s="54" t="s">
        <v>34</v>
      </c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</row>
    <row r="66" spans="2:15" x14ac:dyDescent="0.2"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</row>
    <row r="67" spans="2:15" x14ac:dyDescent="0.2">
      <c r="B67" s="54" t="s">
        <v>35</v>
      </c>
      <c r="C67" s="55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</row>
  </sheetData>
  <sheetProtection password="A926" sheet="1" objects="1" scenarios="1"/>
  <mergeCells count="65">
    <mergeCell ref="B51:H51"/>
    <mergeCell ref="B52:H52"/>
    <mergeCell ref="E6:F6"/>
    <mergeCell ref="G4:L4"/>
    <mergeCell ref="G6:L6"/>
    <mergeCell ref="E12:O12"/>
    <mergeCell ref="B9:D9"/>
    <mergeCell ref="B10:D10"/>
    <mergeCell ref="B11:D11"/>
    <mergeCell ref="B12:D12"/>
    <mergeCell ref="N20:N21"/>
    <mergeCell ref="M20:M21"/>
    <mergeCell ref="L20:L21"/>
    <mergeCell ref="B16:O16"/>
    <mergeCell ref="B19:H21"/>
    <mergeCell ref="O19:O21"/>
    <mergeCell ref="B65:O65"/>
    <mergeCell ref="B67:O67"/>
    <mergeCell ref="B30:H30"/>
    <mergeCell ref="B26:H26"/>
    <mergeCell ref="B27:H27"/>
    <mergeCell ref="B28:H28"/>
    <mergeCell ref="B29:H29"/>
    <mergeCell ref="B60:H60"/>
    <mergeCell ref="B61:H61"/>
    <mergeCell ref="B53:H53"/>
    <mergeCell ref="B54:H54"/>
    <mergeCell ref="B55:H55"/>
    <mergeCell ref="B56:H56"/>
    <mergeCell ref="B59:H59"/>
    <mergeCell ref="B37:H37"/>
    <mergeCell ref="B38:H38"/>
    <mergeCell ref="C2:M2"/>
    <mergeCell ref="E9:O9"/>
    <mergeCell ref="E10:L10"/>
    <mergeCell ref="G11:H11"/>
    <mergeCell ref="E4:F4"/>
    <mergeCell ref="I20:I21"/>
    <mergeCell ref="J20:J21"/>
    <mergeCell ref="K20:K21"/>
    <mergeCell ref="B62:H62"/>
    <mergeCell ref="B43:H43"/>
    <mergeCell ref="B44:H44"/>
    <mergeCell ref="B57:H57"/>
    <mergeCell ref="B58:H58"/>
    <mergeCell ref="B47:H47"/>
    <mergeCell ref="B48:H48"/>
    <mergeCell ref="B45:H45"/>
    <mergeCell ref="B46:H46"/>
    <mergeCell ref="B49:H49"/>
    <mergeCell ref="B50:H50"/>
    <mergeCell ref="B35:H35"/>
    <mergeCell ref="B36:H36"/>
    <mergeCell ref="B39:H39"/>
    <mergeCell ref="B40:H40"/>
    <mergeCell ref="B41:H41"/>
    <mergeCell ref="B42:H42"/>
    <mergeCell ref="B25:H25"/>
    <mergeCell ref="B24:H24"/>
    <mergeCell ref="B23:H23"/>
    <mergeCell ref="B22:H22"/>
    <mergeCell ref="B33:H33"/>
    <mergeCell ref="B34:H34"/>
    <mergeCell ref="B31:H31"/>
    <mergeCell ref="B32:H32"/>
  </mergeCells>
  <phoneticPr fontId="2" type="noConversion"/>
  <dataValidations count="1">
    <dataValidation type="decimal" allowBlank="1" showInputMessage="1" showErrorMessage="1" sqref="I22:M61">
      <formula1>0</formula1>
      <formula2>500000000.99</formula2>
    </dataValidation>
  </dataValidations>
  <pageMargins left="0.51181102362204722" right="0.74803149606299213" top="0.35433070866141736" bottom="0.15748031496062992" header="0" footer="0"/>
  <pageSetup paperSize="9" scale="40" fitToWidth="2" orientation="landscape" r:id="rId1"/>
  <headerFooter alignWithMargins="0"/>
  <colBreaks count="1" manualBreakCount="1">
    <brk id="22" max="89" man="1"/>
  </colBreaks>
  <drawing r:id="rId2"/>
  <legacyDrawing r:id="rId3"/>
  <controls>
    <mc:AlternateContent xmlns:mc="http://schemas.openxmlformats.org/markup-compatibility/2006">
      <mc:Choice Requires="x14">
        <control shapeId="3076" r:id="rId4" name="Validar">
          <controlPr defaultSize="0" print="0" autoLine="0" r:id="rId5">
            <anchor moveWithCells="1">
              <from>
                <xdr:col>12</xdr:col>
                <xdr:colOff>419100</xdr:colOff>
                <xdr:row>3</xdr:row>
                <xdr:rowOff>85725</xdr:rowOff>
              </from>
              <to>
                <xdr:col>13</xdr:col>
                <xdr:colOff>733425</xdr:colOff>
                <xdr:row>5</xdr:row>
                <xdr:rowOff>123825</xdr:rowOff>
              </to>
            </anchor>
          </controlPr>
        </control>
      </mc:Choice>
      <mc:Fallback>
        <control shapeId="3076" r:id="rId4" name="Validar"/>
      </mc:Fallback>
    </mc:AlternateContent>
    <mc:AlternateContent xmlns:mc="http://schemas.openxmlformats.org/markup-compatibility/2006">
      <mc:Choice Requires="x14">
        <control shapeId="3075" r:id="rId6" name="Image1">
          <controlPr defaultSize="0" autoLine="0" r:id="rId7">
            <anchor moveWithCells="1">
              <from>
                <xdr:col>1</xdr:col>
                <xdr:colOff>295275</xdr:colOff>
                <xdr:row>0</xdr:row>
                <xdr:rowOff>152400</xdr:rowOff>
              </from>
              <to>
                <xdr:col>2</xdr:col>
                <xdr:colOff>438150</xdr:colOff>
                <xdr:row>6</xdr:row>
                <xdr:rowOff>104775</xdr:rowOff>
              </to>
            </anchor>
          </controlPr>
        </control>
      </mc:Choice>
      <mc:Fallback>
        <control shapeId="3075" r:id="rId6" name="Image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ICONET"/>
  <dimension ref="B2:J17"/>
  <sheetViews>
    <sheetView showGridLines="0" workbookViewId="0">
      <selection activeCell="E17" sqref="E17"/>
    </sheetView>
  </sheetViews>
  <sheetFormatPr baseColWidth="10" defaultRowHeight="12.75" x14ac:dyDescent="0.2"/>
  <sheetData>
    <row r="2" spans="2:10" ht="34.5" x14ac:dyDescent="0.45">
      <c r="D2" s="84" t="s">
        <v>37</v>
      </c>
      <c r="E2" s="84"/>
      <c r="F2" s="84"/>
      <c r="G2" s="84"/>
      <c r="H2" s="84"/>
      <c r="I2" s="84"/>
    </row>
    <row r="3" spans="2:10" x14ac:dyDescent="0.2">
      <c r="D3" s="86" t="s">
        <v>41</v>
      </c>
      <c r="E3" s="86"/>
      <c r="F3" s="86"/>
      <c r="G3" s="86"/>
      <c r="H3" s="86"/>
      <c r="I3" s="86"/>
    </row>
    <row r="5" spans="2:10" ht="27" x14ac:dyDescent="0.35">
      <c r="C5" s="85" t="s">
        <v>38</v>
      </c>
      <c r="D5" s="85"/>
      <c r="E5" s="85"/>
      <c r="F5" s="85"/>
      <c r="G5" s="85"/>
      <c r="H5" s="85"/>
      <c r="I5" s="85"/>
      <c r="J5" s="85"/>
    </row>
    <row r="6" spans="2:10" ht="12" customHeight="1" x14ac:dyDescent="0.2"/>
    <row r="7" spans="2:10" ht="27" customHeight="1" x14ac:dyDescent="0.35">
      <c r="C7" s="85" t="s">
        <v>40</v>
      </c>
      <c r="D7" s="85"/>
      <c r="E7" s="85"/>
      <c r="F7" s="85"/>
      <c r="G7" s="85"/>
      <c r="H7" s="85"/>
      <c r="I7" s="85"/>
      <c r="J7" s="85"/>
    </row>
    <row r="8" spans="2:10" ht="27.75" customHeight="1" thickBot="1" x14ac:dyDescent="0.25"/>
    <row r="9" spans="2:10" ht="33" customHeight="1" x14ac:dyDescent="0.2">
      <c r="B9" s="75" t="s">
        <v>36</v>
      </c>
      <c r="C9" s="76"/>
      <c r="D9" s="76"/>
      <c r="E9" s="76"/>
      <c r="F9" s="76"/>
      <c r="G9" s="76"/>
      <c r="H9" s="76"/>
      <c r="I9" s="77"/>
    </row>
    <row r="10" spans="2:10" x14ac:dyDescent="0.2">
      <c r="B10" s="78"/>
      <c r="C10" s="79"/>
      <c r="D10" s="79"/>
      <c r="E10" s="79"/>
      <c r="F10" s="79"/>
      <c r="G10" s="79"/>
      <c r="H10" s="79"/>
      <c r="I10" s="80"/>
    </row>
    <row r="11" spans="2:10" x14ac:dyDescent="0.2">
      <c r="B11" s="78"/>
      <c r="C11" s="79"/>
      <c r="D11" s="79"/>
      <c r="E11" s="79"/>
      <c r="F11" s="79"/>
      <c r="G11" s="79"/>
      <c r="H11" s="79"/>
      <c r="I11" s="80"/>
    </row>
    <row r="12" spans="2:10" x14ac:dyDescent="0.2">
      <c r="B12" s="78"/>
      <c r="C12" s="79"/>
      <c r="D12" s="79"/>
      <c r="E12" s="79"/>
      <c r="F12" s="79"/>
      <c r="G12" s="79"/>
      <c r="H12" s="79"/>
      <c r="I12" s="80"/>
    </row>
    <row r="13" spans="2:10" ht="13.5" thickBot="1" x14ac:dyDescent="0.25">
      <c r="B13" s="81"/>
      <c r="C13" s="82"/>
      <c r="D13" s="82"/>
      <c r="E13" s="82"/>
      <c r="F13" s="82"/>
      <c r="G13" s="82"/>
      <c r="H13" s="82"/>
      <c r="I13" s="83"/>
    </row>
    <row r="17" spans="5:5" x14ac:dyDescent="0.2">
      <c r="E17" s="25" t="s">
        <v>46</v>
      </c>
    </row>
  </sheetData>
  <mergeCells count="5">
    <mergeCell ref="B9:I13"/>
    <mergeCell ref="D2:I2"/>
    <mergeCell ref="C5:J5"/>
    <mergeCell ref="C7:J7"/>
    <mergeCell ref="D3:I3"/>
  </mergeCells>
  <phoneticPr fontId="2" type="noConversion"/>
  <pageMargins left="0.75" right="0.75" top="1" bottom="1" header="0" footer="0"/>
  <pageSetup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Image1">
          <controlPr defaultSize="0" autoLine="0" r:id="rId5">
            <anchor moveWithCells="1">
              <from>
                <xdr:col>0</xdr:col>
                <xdr:colOff>523875</xdr:colOff>
                <xdr:row>1</xdr:row>
                <xdr:rowOff>66675</xdr:rowOff>
              </from>
              <to>
                <xdr:col>2</xdr:col>
                <xdr:colOff>180975</xdr:colOff>
                <xdr:row>7</xdr:row>
                <xdr:rowOff>0</xdr:rowOff>
              </to>
            </anchor>
          </controlPr>
        </control>
      </mc:Choice>
      <mc:Fallback>
        <control shapeId="4097" r:id="rId4" name="Image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Z65"/>
  <sheetViews>
    <sheetView topLeftCell="AA1" zoomScale="85" zoomScaleNormal="100" workbookViewId="0">
      <selection activeCell="AA4" sqref="AA4"/>
    </sheetView>
  </sheetViews>
  <sheetFormatPr baseColWidth="10" defaultRowHeight="12.75" x14ac:dyDescent="0.2"/>
  <cols>
    <col min="1" max="1" width="23.28515625" hidden="1" customWidth="1"/>
    <col min="2" max="2" width="15.28515625" style="26" hidden="1" customWidth="1"/>
    <col min="3" max="3" width="20.28515625" hidden="1" customWidth="1"/>
    <col min="4" max="4" width="18.5703125" hidden="1" customWidth="1"/>
    <col min="5" max="5" width="23" hidden="1" customWidth="1"/>
    <col min="6" max="6" width="17.5703125" hidden="1" customWidth="1"/>
    <col min="7" max="25" width="11.42578125" hidden="1" customWidth="1"/>
    <col min="26" max="26" width="17.42578125" hidden="1" customWidth="1"/>
  </cols>
  <sheetData>
    <row r="1" spans="1:14" x14ac:dyDescent="0.2">
      <c r="A1" t="s">
        <v>39</v>
      </c>
      <c r="B1"/>
      <c r="N1">
        <v>3</v>
      </c>
    </row>
    <row r="2" spans="1:14" x14ac:dyDescent="0.2">
      <c r="A2" t="s">
        <v>33</v>
      </c>
      <c r="B2" t="s">
        <v>16</v>
      </c>
      <c r="C2" t="s">
        <v>30</v>
      </c>
      <c r="D2" t="s">
        <v>29</v>
      </c>
      <c r="E2" t="s">
        <v>31</v>
      </c>
      <c r="F2" t="s">
        <v>6</v>
      </c>
      <c r="G2" t="s">
        <v>4</v>
      </c>
    </row>
    <row r="3" spans="1:14" x14ac:dyDescent="0.2">
      <c r="A3" t="s">
        <v>28</v>
      </c>
      <c r="C3" s="26"/>
      <c r="D3" s="26"/>
    </row>
    <row r="19" ht="15.75" customHeight="1" x14ac:dyDescent="0.2"/>
    <row r="20" ht="12.75" customHeight="1" x14ac:dyDescent="0.2"/>
    <row r="21" ht="13.5" customHeight="1" x14ac:dyDescent="0.2"/>
    <row r="65" ht="12.75" customHeight="1" x14ac:dyDescent="0.2"/>
  </sheetData>
  <phoneticPr fontId="2" type="noConversion"/>
  <pageMargins left="0.75" right="0.75" top="1" bottom="1" header="0" footer="0"/>
  <pageSetup scale="49" orientation="portrait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LI"/>
  <dimension ref="A1:IV21"/>
  <sheetViews>
    <sheetView workbookViewId="0">
      <selection activeCell="A2" sqref="A2"/>
    </sheetView>
  </sheetViews>
  <sheetFormatPr baseColWidth="10" defaultRowHeight="12.75" x14ac:dyDescent="0.2"/>
  <cols>
    <col min="1" max="1" width="12.28515625" customWidth="1"/>
    <col min="2" max="2" width="12.7109375" customWidth="1"/>
    <col min="3" max="3" width="21" customWidth="1"/>
    <col min="7" max="7" width="12.7109375" bestFit="1" customWidth="1"/>
  </cols>
  <sheetData>
    <row r="1" spans="1:256" x14ac:dyDescent="0.2">
      <c r="A1" t="s">
        <v>10</v>
      </c>
      <c r="B1" t="s">
        <v>11</v>
      </c>
      <c r="C1" t="s">
        <v>12</v>
      </c>
      <c r="E1">
        <f>COUNTA(A:A)-1</f>
        <v>0</v>
      </c>
    </row>
    <row r="2" spans="1:256" x14ac:dyDescent="0.2">
      <c r="IV2">
        <v>0</v>
      </c>
    </row>
    <row r="3" spans="1:256" x14ac:dyDescent="0.2">
      <c r="IV3">
        <v>0</v>
      </c>
    </row>
    <row r="20" spans="9:9" x14ac:dyDescent="0.2">
      <c r="I20" s="86"/>
    </row>
    <row r="21" spans="9:9" x14ac:dyDescent="0.2">
      <c r="I21" s="86"/>
    </row>
  </sheetData>
  <mergeCells count="1">
    <mergeCell ref="I20:I21"/>
  </mergeCells>
  <phoneticPr fontId="2" type="noConversion"/>
  <pageMargins left="0.75" right="0.75" top="1" bottom="1" header="0" footer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Prep</vt:lpstr>
      <vt:lpstr>CEDULA_A</vt:lpstr>
      <vt:lpstr>SISCONET</vt:lpstr>
      <vt:lpstr>RCedA</vt:lpstr>
      <vt:lpstr>Val</vt:lpstr>
      <vt:lpstr>CEDULA_A!Área_de_impresión</vt:lpstr>
      <vt:lpstr>RCedA!Área_de_impresión</vt:lpstr>
    </vt:vector>
  </TitlesOfParts>
  <Company>Windows uE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Krlos</dc:creator>
  <cp:lastModifiedBy>NOVUTECK1</cp:lastModifiedBy>
  <cp:lastPrinted>2011-11-11T00:15:19Z</cp:lastPrinted>
  <dcterms:created xsi:type="dcterms:W3CDTF">2011-10-03T15:34:48Z</dcterms:created>
  <dcterms:modified xsi:type="dcterms:W3CDTF">2015-01-14T18:16:23Z</dcterms:modified>
</cp:coreProperties>
</file>