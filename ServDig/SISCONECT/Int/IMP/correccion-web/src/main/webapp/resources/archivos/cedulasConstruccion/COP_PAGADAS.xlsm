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E6F" lockStructure="1"/>
  <bookViews>
    <workbookView xWindow="120" yWindow="135" windowWidth="15480" windowHeight="10800" firstSheet="1" activeTab="1"/>
  </bookViews>
  <sheets>
    <sheet name="Prep" sheetId="5" state="hidden" r:id="rId1"/>
    <sheet name="COP pagadas" sheetId="1" r:id="rId2"/>
    <sheet name="SISCONET" sheetId="8" state="hidden" r:id="rId3"/>
    <sheet name="COPPag" sheetId="7" state="hidden" r:id="rId4"/>
    <sheet name="Val" sheetId="6" state="hidden" r:id="rId5"/>
  </sheets>
  <functionGroups builtInGroupCount="17"/>
  <definedNames>
    <definedName name="_xlnm._FilterDatabase" localSheetId="1" hidden="1">'COP pagadas'!#REF!</definedName>
    <definedName name="_xlnm.Print_Area" localSheetId="1">'COP pagadas'!$A$1:$W$45</definedName>
  </definedNames>
  <calcPr calcId="144525"/>
</workbook>
</file>

<file path=xl/calcChain.xml><?xml version="1.0" encoding="utf-8"?>
<calcChain xmlns="http://schemas.openxmlformats.org/spreadsheetml/2006/main">
  <c r="R19" i="1" l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18" i="1"/>
  <c r="U43" i="1" l="1"/>
  <c r="T43" i="1"/>
  <c r="S43" i="1"/>
  <c r="R43" i="1"/>
  <c r="Q43" i="1"/>
  <c r="P43" i="1"/>
  <c r="O43" i="1"/>
  <c r="N43" i="1"/>
  <c r="K43" i="1"/>
  <c r="J43" i="1"/>
  <c r="I43" i="1"/>
  <c r="Y41" i="1" l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E1" i="6"/>
  <c r="I2" i="5"/>
  <c r="I1" i="5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2" i="1"/>
  <c r="Q34" i="1"/>
  <c r="Q35" i="1"/>
  <c r="Q36" i="1"/>
  <c r="Q37" i="1"/>
  <c r="Q38" i="1"/>
  <c r="Q39" i="1"/>
  <c r="Q40" i="1"/>
  <c r="Q41" i="1"/>
  <c r="W41" i="1"/>
  <c r="L41" i="1"/>
  <c r="L40" i="1"/>
  <c r="L39" i="1"/>
  <c r="L3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Q18" i="1"/>
  <c r="L43" i="1" l="1"/>
</calcChain>
</file>

<file path=xl/sharedStrings.xml><?xml version="1.0" encoding="utf-8"?>
<sst xmlns="http://schemas.openxmlformats.org/spreadsheetml/2006/main" count="372" uniqueCount="86">
  <si>
    <t>Folio</t>
  </si>
  <si>
    <t>No.Crédito</t>
  </si>
  <si>
    <t>Fecha 
de Pago</t>
  </si>
  <si>
    <t>COP</t>
  </si>
  <si>
    <t>RCV</t>
  </si>
  <si>
    <t>SUA</t>
  </si>
  <si>
    <t>Orden Ingreso</t>
  </si>
  <si>
    <t>SP</t>
  </si>
  <si>
    <t>Act</t>
  </si>
  <si>
    <t>Rec</t>
  </si>
  <si>
    <t>Total</t>
  </si>
  <si>
    <t>Tipo de Documento</t>
  </si>
  <si>
    <t>Instituto Mexicano del Seguro Social</t>
  </si>
  <si>
    <t>FOLIO DE CORRECCIÓN:</t>
  </si>
  <si>
    <t>EJERCICIO</t>
  </si>
  <si>
    <t>AL</t>
  </si>
  <si>
    <t>Registro Patronal</t>
  </si>
  <si>
    <t>V</t>
  </si>
  <si>
    <t>RP</t>
  </si>
  <si>
    <t>Delegación</t>
  </si>
  <si>
    <t xml:space="preserve">Subdelegación </t>
  </si>
  <si>
    <t>Nombre o razón</t>
  </si>
  <si>
    <t>Folio de Correccion</t>
  </si>
  <si>
    <t>Ejercicio</t>
  </si>
  <si>
    <t>Per Ini</t>
  </si>
  <si>
    <t>Per Fin</t>
  </si>
  <si>
    <t>H</t>
  </si>
  <si>
    <t>C</t>
  </si>
  <si>
    <t>^[0-9]{2}/[0-9]{2}/[0-9]{4}$</t>
  </si>
  <si>
    <t>^[A-Za-z0-9 áéíóúÁÉÍÓÚÑñ#\$&amp;()=?¡¿*üÜäÄËëÏïöÖ!{}\\\^\-_;:,°\./]+$</t>
  </si>
  <si>
    <t>^[A-Za-z0-9]{11}$</t>
  </si>
  <si>
    <t>COP pagadas</t>
  </si>
  <si>
    <t/>
  </si>
  <si>
    <t>Fechade Pago</t>
  </si>
  <si>
    <t>COP Periodo</t>
  </si>
  <si>
    <t>COP SP</t>
  </si>
  <si>
    <t>COP Act</t>
  </si>
  <si>
    <t>COP Rec</t>
  </si>
  <si>
    <t>RCV Periodo</t>
  </si>
  <si>
    <t>RCV SP</t>
  </si>
  <si>
    <t>RCV Act</t>
  </si>
  <si>
    <t>RCV Rec</t>
  </si>
  <si>
    <t>COP Pagadas</t>
  </si>
  <si>
    <t>TOTAL</t>
  </si>
  <si>
    <t>Agregar [+]</t>
  </si>
  <si>
    <t xml:space="preserve">DELEGACIÓN: </t>
  </si>
  <si>
    <t xml:space="preserve">SUBDELEGACIÓN: </t>
  </si>
  <si>
    <t>Total COP</t>
  </si>
  <si>
    <t>Total RCV</t>
  </si>
  <si>
    <t>SISTEMA DE CORRECCIÓN EN LÍNEA</t>
  </si>
  <si>
    <t>Para el buen funcionamiento de la plantilla es necesario habilitar macros</t>
  </si>
  <si>
    <t>Movimientos Afiliatorios</t>
  </si>
  <si>
    <t>Núm. de trabajadores regularizados</t>
  </si>
  <si>
    <t>Alta</t>
  </si>
  <si>
    <t>Baja</t>
  </si>
  <si>
    <t>Modificación de salario</t>
  </si>
  <si>
    <t>[-]</t>
  </si>
  <si>
    <t>B</t>
  </si>
  <si>
    <t>^[0-9]{6}$|^$</t>
  </si>
  <si>
    <t>D</t>
  </si>
  <si>
    <t>^[A-Za-z0-9]{0,50}$|^$</t>
  </si>
  <si>
    <t>E</t>
  </si>
  <si>
    <t>F</t>
  </si>
  <si>
    <t>G</t>
  </si>
  <si>
    <t>^[0-9]{2}$</t>
  </si>
  <si>
    <t>^(19[0-9]{2}|20[0-9]{2})(01|02|03|04|05|06|07|08|09|10|11|12)$|^$</t>
  </si>
  <si>
    <t>I</t>
  </si>
  <si>
    <t>^([0-9]+|[0-9]*\.[0-9]+)$|^$</t>
  </si>
  <si>
    <t>J</t>
  </si>
  <si>
    <t>K</t>
  </si>
  <si>
    <t>M</t>
  </si>
  <si>
    <t>N</t>
  </si>
  <si>
    <t>O</t>
  </si>
  <si>
    <t>P</t>
  </si>
  <si>
    <t>R</t>
  </si>
  <si>
    <t>^[0-9]{0,5}$|^$</t>
  </si>
  <si>
    <t>S</t>
  </si>
  <si>
    <t>T</t>
  </si>
  <si>
    <t>U</t>
  </si>
  <si>
    <t>SISCONET</t>
  </si>
  <si>
    <t>Fecha Solicitud</t>
  </si>
  <si>
    <t>DESGLOSE DE CUOTAS OBRERO PATRONALES AUTODETERMINADAS PAGADAS</t>
  </si>
  <si>
    <t>NOMBRE O RAZÓN SOCIAL:</t>
  </si>
  <si>
    <t>PERÍODO QUE REGULARIZA:</t>
  </si>
  <si>
    <t>PerÍodo</t>
  </si>
  <si>
    <t>V 2.60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</si>
</sst>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\(&quot;$&quot;#,##0.00\)"/>
    <numFmt numFmtId="165" formatCode="_(* #,##0.00_);_(* \(#,##0.00\);_(* &quot;-&quot;??_);_(@_)"/>
    <numFmt numFmtId="166" formatCode="#,##0_ ;\-#,##0\ "/>
  </numFmts>
  <fonts count="16" x14ac:knownFonts="1"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8"/>
      <name val="Calibri"/>
      <family val="2"/>
    </font>
    <font>
      <sz val="11"/>
      <color indexed="8"/>
      <name val="Calibri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b/>
      <sz val="12"/>
      <color indexed="10"/>
      <name val="Arial"/>
      <family val="2"/>
    </font>
    <font>
      <sz val="11"/>
      <color indexed="9"/>
      <name val="Calibri"/>
      <family val="2"/>
    </font>
    <font>
      <b/>
      <sz val="12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5" fontId="3" fillId="0" borderId="0" applyFont="0" applyFill="0" applyBorder="0" applyAlignment="0" applyProtection="0"/>
    <xf numFmtId="0" fontId="10" fillId="0" borderId="0"/>
  </cellStyleXfs>
  <cellXfs count="11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0" xfId="0" applyNumberFormat="1" applyFill="1" applyBorder="1"/>
    <xf numFmtId="0" fontId="0" fillId="2" borderId="0" xfId="0" applyNumberFormat="1" applyFill="1"/>
    <xf numFmtId="0" fontId="4" fillId="2" borderId="0" xfId="0" applyFont="1" applyFill="1" applyBorder="1"/>
    <xf numFmtId="0" fontId="5" fillId="2" borderId="0" xfId="0" applyFont="1" applyFill="1" applyBorder="1" applyAlignment="1">
      <alignment horizontal="right"/>
    </xf>
    <xf numFmtId="0" fontId="5" fillId="2" borderId="0" xfId="0" applyFont="1" applyFill="1" applyBorder="1"/>
    <xf numFmtId="0" fontId="4" fillId="2" borderId="0" xfId="0" applyFont="1" applyFill="1" applyBorder="1" applyAlignment="1">
      <alignment horizontal="left"/>
    </xf>
    <xf numFmtId="0" fontId="5" fillId="2" borderId="1" xfId="0" applyFont="1" applyFill="1" applyBorder="1" applyAlignment="1" applyProtection="1">
      <alignment horizontal="center"/>
      <protection hidden="1"/>
    </xf>
    <xf numFmtId="14" fontId="5" fillId="2" borderId="1" xfId="0" applyNumberFormat="1" applyFont="1" applyFill="1" applyBorder="1" applyAlignment="1" applyProtection="1">
      <protection hidden="1"/>
    </xf>
    <xf numFmtId="0" fontId="5" fillId="2" borderId="0" xfId="0" applyFont="1" applyFill="1" applyBorder="1" applyAlignment="1">
      <alignment horizontal="center"/>
    </xf>
    <xf numFmtId="14" fontId="5" fillId="2" borderId="1" xfId="0" applyNumberFormat="1" applyFont="1" applyFill="1" applyBorder="1" applyProtection="1">
      <protection hidden="1"/>
    </xf>
    <xf numFmtId="0" fontId="4" fillId="2" borderId="0" xfId="0" applyNumberFormat="1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5" xfId="0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9" xfId="0" applyNumberFormat="1" applyFill="1" applyBorder="1"/>
    <xf numFmtId="0" fontId="0" fillId="2" borderId="10" xfId="0" applyFill="1" applyBorder="1"/>
    <xf numFmtId="165" fontId="0" fillId="0" borderId="0" xfId="1" applyFont="1"/>
    <xf numFmtId="4" fontId="0" fillId="0" borderId="0" xfId="0" applyNumberFormat="1"/>
    <xf numFmtId="49" fontId="0" fillId="2" borderId="0" xfId="0" applyNumberFormat="1" applyFill="1"/>
    <xf numFmtId="49" fontId="4" fillId="2" borderId="11" xfId="0" applyNumberFormat="1" applyFont="1" applyFill="1" applyBorder="1" applyProtection="1">
      <protection locked="0"/>
    </xf>
    <xf numFmtId="49" fontId="4" fillId="2" borderId="12" xfId="0" applyNumberFormat="1" applyFont="1" applyFill="1" applyBorder="1" applyProtection="1">
      <protection locked="0"/>
    </xf>
    <xf numFmtId="14" fontId="4" fillId="2" borderId="12" xfId="0" applyNumberFormat="1" applyFont="1" applyFill="1" applyBorder="1" applyProtection="1">
      <protection locked="0"/>
    </xf>
    <xf numFmtId="0" fontId="4" fillId="2" borderId="12" xfId="0" applyNumberFormat="1" applyFont="1" applyFill="1" applyBorder="1" applyProtection="1">
      <protection locked="0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4" xfId="0" applyNumberFormat="1" applyFont="1" applyFill="1" applyBorder="1" applyAlignment="1">
      <alignment horizontal="center"/>
    </xf>
    <xf numFmtId="49" fontId="4" fillId="0" borderId="15" xfId="0" applyNumberFormat="1" applyFont="1" applyFill="1" applyBorder="1" applyProtection="1">
      <protection locked="0"/>
    </xf>
    <xf numFmtId="49" fontId="4" fillId="0" borderId="16" xfId="0" applyNumberFormat="1" applyFont="1" applyFill="1" applyBorder="1" applyProtection="1">
      <protection locked="0"/>
    </xf>
    <xf numFmtId="0" fontId="4" fillId="0" borderId="16" xfId="0" applyNumberFormat="1" applyFont="1" applyFill="1" applyBorder="1" applyProtection="1">
      <protection locked="0"/>
    </xf>
    <xf numFmtId="14" fontId="4" fillId="0" borderId="16" xfId="0" applyNumberFormat="1" applyFont="1" applyFill="1" applyBorder="1" applyProtection="1">
      <protection locked="0"/>
    </xf>
    <xf numFmtId="164" fontId="4" fillId="0" borderId="16" xfId="0" applyNumberFormat="1" applyFont="1" applyFill="1" applyBorder="1" applyProtection="1">
      <protection locked="0"/>
    </xf>
    <xf numFmtId="164" fontId="4" fillId="2" borderId="12" xfId="0" applyNumberFormat="1" applyFont="1" applyFill="1" applyBorder="1" applyProtection="1">
      <protection locked="0"/>
    </xf>
    <xf numFmtId="0" fontId="6" fillId="2" borderId="13" xfId="0" applyFont="1" applyFill="1" applyBorder="1" applyAlignment="1"/>
    <xf numFmtId="0" fontId="6" fillId="2" borderId="14" xfId="0" applyFont="1" applyFill="1" applyBorder="1" applyAlignment="1"/>
    <xf numFmtId="0" fontId="6" fillId="2" borderId="17" xfId="0" applyFont="1" applyFill="1" applyBorder="1" applyAlignment="1"/>
    <xf numFmtId="0" fontId="10" fillId="0" borderId="0" xfId="2"/>
    <xf numFmtId="0" fontId="15" fillId="0" borderId="0" xfId="2" applyFont="1"/>
    <xf numFmtId="0" fontId="5" fillId="2" borderId="18" xfId="0" applyFont="1" applyFill="1" applyBorder="1" applyAlignment="1">
      <alignment horizontal="center"/>
    </xf>
    <xf numFmtId="0" fontId="0" fillId="2" borderId="7" xfId="0" applyFill="1" applyBorder="1"/>
    <xf numFmtId="0" fontId="0" fillId="2" borderId="5" xfId="0" applyFill="1" applyBorder="1"/>
    <xf numFmtId="0" fontId="0" fillId="2" borderId="19" xfId="0" applyFill="1" applyBorder="1"/>
    <xf numFmtId="0" fontId="4" fillId="2" borderId="10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/>
    </xf>
    <xf numFmtId="166" fontId="4" fillId="0" borderId="16" xfId="0" applyNumberFormat="1" applyFont="1" applyFill="1" applyBorder="1" applyProtection="1">
      <protection locked="0"/>
    </xf>
    <xf numFmtId="166" fontId="4" fillId="0" borderId="20" xfId="0" applyNumberFormat="1" applyFont="1" applyFill="1" applyBorder="1" applyProtection="1">
      <protection locked="0"/>
    </xf>
    <xf numFmtId="164" fontId="4" fillId="2" borderId="21" xfId="0" applyNumberFormat="1" applyFont="1" applyFill="1" applyBorder="1"/>
    <xf numFmtId="49" fontId="4" fillId="0" borderId="22" xfId="0" applyNumberFormat="1" applyFont="1" applyFill="1" applyBorder="1" applyProtection="1">
      <protection locked="0"/>
    </xf>
    <xf numFmtId="49" fontId="4" fillId="0" borderId="23" xfId="0" applyNumberFormat="1" applyFont="1" applyFill="1" applyBorder="1" applyProtection="1">
      <protection locked="0"/>
    </xf>
    <xf numFmtId="14" fontId="4" fillId="0" borderId="23" xfId="0" applyNumberFormat="1" applyFont="1" applyFill="1" applyBorder="1" applyProtection="1">
      <protection locked="0"/>
    </xf>
    <xf numFmtId="0" fontId="4" fillId="0" borderId="23" xfId="0" applyNumberFormat="1" applyFont="1" applyFill="1" applyBorder="1" applyProtection="1">
      <protection locked="0"/>
    </xf>
    <xf numFmtId="164" fontId="4" fillId="0" borderId="23" xfId="0" applyNumberFormat="1" applyFont="1" applyFill="1" applyBorder="1" applyProtection="1">
      <protection locked="0"/>
    </xf>
    <xf numFmtId="166" fontId="4" fillId="0" borderId="23" xfId="0" applyNumberFormat="1" applyFont="1" applyFill="1" applyBorder="1" applyProtection="1">
      <protection locked="0"/>
    </xf>
    <xf numFmtId="166" fontId="4" fillId="0" borderId="24" xfId="0" applyNumberFormat="1" applyFont="1" applyFill="1" applyBorder="1" applyProtection="1">
      <protection locked="0"/>
    </xf>
    <xf numFmtId="0" fontId="0" fillId="2" borderId="21" xfId="0" applyNumberFormat="1" applyFill="1" applyBorder="1"/>
    <xf numFmtId="0" fontId="8" fillId="2" borderId="0" xfId="0" applyFont="1" applyFill="1"/>
    <xf numFmtId="166" fontId="0" fillId="2" borderId="0" xfId="0" applyNumberFormat="1" applyFill="1"/>
    <xf numFmtId="49" fontId="0" fillId="0" borderId="0" xfId="0" applyNumberFormat="1"/>
    <xf numFmtId="0" fontId="8" fillId="2" borderId="0" xfId="0" applyFont="1" applyFill="1" applyProtection="1">
      <protection hidden="1"/>
    </xf>
    <xf numFmtId="164" fontId="4" fillId="2" borderId="16" xfId="0" applyNumberFormat="1" applyFont="1" applyFill="1" applyBorder="1" applyProtection="1">
      <protection hidden="1"/>
    </xf>
    <xf numFmtId="164" fontId="4" fillId="2" borderId="12" xfId="0" applyNumberFormat="1" applyFont="1" applyFill="1" applyBorder="1" applyProtection="1">
      <protection hidden="1"/>
    </xf>
    <xf numFmtId="164" fontId="4" fillId="2" borderId="23" xfId="0" applyNumberFormat="1" applyFont="1" applyFill="1" applyBorder="1" applyProtection="1">
      <protection hidden="1"/>
    </xf>
    <xf numFmtId="164" fontId="4" fillId="0" borderId="16" xfId="0" applyNumberFormat="1" applyFont="1" applyFill="1" applyBorder="1" applyProtection="1">
      <protection hidden="1"/>
    </xf>
    <xf numFmtId="164" fontId="4" fillId="0" borderId="23" xfId="0" applyNumberFormat="1" applyFont="1" applyFill="1" applyBorder="1" applyProtection="1">
      <protection hidden="1"/>
    </xf>
    <xf numFmtId="3" fontId="4" fillId="2" borderId="21" xfId="0" applyNumberFormat="1" applyFont="1" applyFill="1" applyBorder="1"/>
    <xf numFmtId="1" fontId="0" fillId="0" borderId="0" xfId="0" applyNumberFormat="1"/>
    <xf numFmtId="166" fontId="4" fillId="0" borderId="16" xfId="0" applyNumberFormat="1" applyFont="1" applyFill="1" applyBorder="1" applyProtection="1"/>
    <xf numFmtId="0" fontId="1" fillId="2" borderId="5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4" fillId="2" borderId="1" xfId="0" applyFont="1" applyFill="1" applyBorder="1" applyAlignment="1" applyProtection="1">
      <alignment horizontal="left"/>
      <protection hidden="1"/>
    </xf>
    <xf numFmtId="0" fontId="4" fillId="2" borderId="25" xfId="0" applyFont="1" applyFill="1" applyBorder="1" applyAlignment="1" applyProtection="1">
      <alignment horizontal="left"/>
      <protection hidden="1"/>
    </xf>
    <xf numFmtId="0" fontId="4" fillId="2" borderId="1" xfId="0" applyFont="1" applyFill="1" applyBorder="1" applyAlignment="1" applyProtection="1">
      <alignment horizontal="center"/>
      <protection hidden="1"/>
    </xf>
    <xf numFmtId="0" fontId="7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6" xfId="0" applyNumberFormat="1" applyFont="1" applyFill="1" applyBorder="1" applyAlignment="1">
      <alignment horizontal="center" vertical="center" wrapText="1"/>
    </xf>
    <xf numFmtId="0" fontId="5" fillId="2" borderId="3" xfId="0" applyNumberFormat="1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14" fillId="0" borderId="4" xfId="2" applyFont="1" applyBorder="1" applyAlignment="1">
      <alignment horizontal="center" vertical="center" wrapText="1"/>
    </xf>
    <xf numFmtId="0" fontId="14" fillId="0" borderId="5" xfId="2" applyFont="1" applyBorder="1" applyAlignment="1">
      <alignment horizontal="center" vertical="center" wrapText="1"/>
    </xf>
    <xf numFmtId="0" fontId="14" fillId="0" borderId="19" xfId="2" applyFont="1" applyBorder="1" applyAlignment="1">
      <alignment horizontal="center" vertical="center" wrapText="1"/>
    </xf>
    <xf numFmtId="0" fontId="14" fillId="0" borderId="6" xfId="2" applyFont="1" applyBorder="1" applyAlignment="1">
      <alignment horizontal="center" vertical="center" wrapText="1"/>
    </xf>
    <xf numFmtId="0" fontId="14" fillId="0" borderId="0" xfId="2" applyFont="1" applyBorder="1" applyAlignment="1">
      <alignment horizontal="center" vertical="center" wrapText="1"/>
    </xf>
    <xf numFmtId="0" fontId="14" fillId="0" borderId="7" xfId="2" applyFont="1" applyBorder="1" applyAlignment="1">
      <alignment horizontal="center" vertical="center" wrapText="1"/>
    </xf>
    <xf numFmtId="0" fontId="14" fillId="0" borderId="8" xfId="2" applyFont="1" applyBorder="1" applyAlignment="1">
      <alignment horizontal="center" vertical="center" wrapText="1"/>
    </xf>
    <xf numFmtId="0" fontId="14" fillId="0" borderId="9" xfId="2" applyFont="1" applyBorder="1" applyAlignment="1">
      <alignment horizontal="center" vertical="center" wrapText="1"/>
    </xf>
    <xf numFmtId="0" fontId="14" fillId="0" borderId="10" xfId="2" applyFont="1" applyBorder="1" applyAlignment="1">
      <alignment horizontal="center" vertical="center" wrapText="1"/>
    </xf>
    <xf numFmtId="0" fontId="12" fillId="0" borderId="0" xfId="2" applyFont="1" applyAlignment="1">
      <alignment horizontal="center"/>
    </xf>
    <xf numFmtId="0" fontId="13" fillId="0" borderId="0" xfId="2" applyFont="1" applyAlignment="1">
      <alignment horizontal="center"/>
    </xf>
    <xf numFmtId="0" fontId="10" fillId="0" borderId="0" xfId="2" applyAlignment="1">
      <alignment horizontal="center"/>
    </xf>
  </cellXfs>
  <cellStyles count="3">
    <cellStyle name="Millares" xfId="1" builtinId="3"/>
    <cellStyle name="Normal" xfId="0" builtinId="0"/>
    <cellStyle name="Normal_9320-009-133 Análisis de honorario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0</xdr:row>
          <xdr:rowOff>123825</xdr:rowOff>
        </xdr:from>
        <xdr:to>
          <xdr:col>2</xdr:col>
          <xdr:colOff>171450</xdr:colOff>
          <xdr:row>6</xdr:row>
          <xdr:rowOff>76200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8</xdr:row>
          <xdr:rowOff>85725</xdr:rowOff>
        </xdr:from>
        <xdr:to>
          <xdr:col>16</xdr:col>
          <xdr:colOff>104775</xdr:colOff>
          <xdr:row>10</xdr:row>
          <xdr:rowOff>133350</xdr:rowOff>
        </xdr:to>
        <xdr:sp macro="" textlink="">
          <xdr:nvSpPr>
            <xdr:cNvPr id="1028" name="Valida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absolute">
    <xdr:from>
      <xdr:col>14</xdr:col>
      <xdr:colOff>95251</xdr:colOff>
      <xdr:row>3</xdr:row>
      <xdr:rowOff>176894</xdr:rowOff>
    </xdr:from>
    <xdr:to>
      <xdr:col>16</xdr:col>
      <xdr:colOff>225718</xdr:colOff>
      <xdr:row>6</xdr:row>
      <xdr:rowOff>151912</xdr:rowOff>
    </xdr:to>
    <xdr:pic macro="[0]!generartxtCedulaCOP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9358" y="884465"/>
          <a:ext cx="1994646" cy="587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30"/>
  <sheetViews>
    <sheetView workbookViewId="0">
      <selection activeCell="J12" sqref="J12"/>
    </sheetView>
  </sheetViews>
  <sheetFormatPr baseColWidth="10" defaultRowHeight="15" x14ac:dyDescent="0.25"/>
  <cols>
    <col min="2" max="2" width="11.42578125" style="66"/>
    <col min="8" max="8" width="11.42578125" style="66"/>
    <col min="11" max="11" width="18.140625" bestFit="1" customWidth="1"/>
    <col min="12" max="12" width="11.42578125" style="66"/>
  </cols>
  <sheetData>
    <row r="1" spans="9:11" x14ac:dyDescent="0.25">
      <c r="I1">
        <f>COUNTA(C:C)</f>
        <v>0</v>
      </c>
      <c r="J1" t="s">
        <v>17</v>
      </c>
    </row>
    <row r="2" spans="9:11" x14ac:dyDescent="0.25">
      <c r="I2">
        <f>COUNTA(H:H)</f>
        <v>0</v>
      </c>
    </row>
    <row r="3" spans="9:11" x14ac:dyDescent="0.25">
      <c r="K3" t="s">
        <v>19</v>
      </c>
    </row>
    <row r="4" spans="9:11" x14ac:dyDescent="0.25">
      <c r="K4" t="s">
        <v>20</v>
      </c>
    </row>
    <row r="5" spans="9:11" x14ac:dyDescent="0.25">
      <c r="K5" t="s">
        <v>21</v>
      </c>
    </row>
    <row r="6" spans="9:11" x14ac:dyDescent="0.25">
      <c r="K6" t="s">
        <v>22</v>
      </c>
    </row>
    <row r="7" spans="9:11" x14ac:dyDescent="0.25">
      <c r="K7" t="s">
        <v>23</v>
      </c>
    </row>
    <row r="8" spans="9:11" x14ac:dyDescent="0.25">
      <c r="K8" t="s">
        <v>24</v>
      </c>
    </row>
    <row r="9" spans="9:11" x14ac:dyDescent="0.25">
      <c r="K9" t="s">
        <v>25</v>
      </c>
    </row>
    <row r="10" spans="9:11" x14ac:dyDescent="0.25">
      <c r="K10" t="s">
        <v>18</v>
      </c>
    </row>
    <row r="11" spans="9:11" x14ac:dyDescent="0.25">
      <c r="J11" s="74">
        <v>11111</v>
      </c>
      <c r="K11" t="s">
        <v>80</v>
      </c>
    </row>
    <row r="30" spans="1:1" x14ac:dyDescent="0.25">
      <c r="A30">
        <v>1</v>
      </c>
    </row>
  </sheetData>
  <phoneticPr fontId="2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PP">
    <pageSetUpPr fitToPage="1"/>
  </sheetPr>
  <dimension ref="A1:AU46"/>
  <sheetViews>
    <sheetView tabSelected="1" view="pageBreakPreview" zoomScale="70" zoomScaleNormal="60" zoomScaleSheetLayoutView="85" workbookViewId="0">
      <selection activeCell="F18" sqref="F18"/>
    </sheetView>
  </sheetViews>
  <sheetFormatPr baseColWidth="10" defaultRowHeight="15" x14ac:dyDescent="0.25"/>
  <cols>
    <col min="1" max="1" width="11.42578125" style="1"/>
    <col min="2" max="2" width="23.140625" style="1" customWidth="1"/>
    <col min="3" max="3" width="16.140625" style="1" customWidth="1"/>
    <col min="4" max="4" width="17" style="1" customWidth="1"/>
    <col min="5" max="5" width="18" style="1" customWidth="1"/>
    <col min="6" max="6" width="17.42578125" style="1" customWidth="1"/>
    <col min="7" max="7" width="16.5703125" style="1" customWidth="1"/>
    <col min="8" max="8" width="19.7109375" style="4" customWidth="1"/>
    <col min="9" max="9" width="15.42578125" style="1" customWidth="1"/>
    <col min="10" max="10" width="12.42578125" style="1" bestFit="1" customWidth="1"/>
    <col min="11" max="11" width="15.5703125" style="1" customWidth="1"/>
    <col min="12" max="12" width="10.42578125" style="1" customWidth="1"/>
    <col min="13" max="13" width="19.7109375" style="1" customWidth="1"/>
    <col min="14" max="14" width="18.85546875" style="1" customWidth="1"/>
    <col min="15" max="15" width="14.28515625" style="1" customWidth="1"/>
    <col min="16" max="16" width="13.5703125" style="1" customWidth="1"/>
    <col min="17" max="17" width="10.28515625" style="1" customWidth="1"/>
    <col min="18" max="18" width="17.85546875" style="1" customWidth="1"/>
    <col min="19" max="20" width="11.42578125" style="1"/>
    <col min="21" max="21" width="15.140625" style="1" customWidth="1"/>
    <col min="22" max="23" width="11.42578125" style="1"/>
    <col min="24" max="27" width="0" style="1" hidden="1" customWidth="1"/>
    <col min="28" max="28" width="14.5703125" style="1" hidden="1" customWidth="1"/>
    <col min="29" max="52" width="0" style="1" hidden="1" customWidth="1"/>
    <col min="53" max="64" width="11.42578125" style="1"/>
    <col min="65" max="65" width="0" style="1" hidden="1" customWidth="1"/>
    <col min="66" max="16384" width="11.42578125" style="1"/>
  </cols>
  <sheetData>
    <row r="1" spans="1:47" ht="23.25" x14ac:dyDescent="0.35">
      <c r="A1" s="16"/>
      <c r="B1" s="17"/>
      <c r="C1" s="76" t="s">
        <v>12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48"/>
      <c r="T1" s="48"/>
      <c r="U1" s="48"/>
      <c r="V1" s="49"/>
      <c r="W1" s="64" t="s">
        <v>17</v>
      </c>
      <c r="AB1" s="27"/>
      <c r="AC1" s="1">
        <v>0</v>
      </c>
      <c r="AJ1"/>
      <c r="AL1" s="27"/>
      <c r="AM1" s="27"/>
      <c r="AU1" s="1" t="s">
        <v>11</v>
      </c>
    </row>
    <row r="2" spans="1:47" ht="15.75" x14ac:dyDescent="0.25">
      <c r="A2" s="18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2"/>
      <c r="T2" s="2"/>
      <c r="U2" s="2"/>
      <c r="V2" s="47"/>
      <c r="W2" s="64">
        <f>ROW(A43)</f>
        <v>43</v>
      </c>
      <c r="AB2" s="27"/>
      <c r="AJ2"/>
      <c r="AL2" s="27"/>
      <c r="AM2" s="27"/>
      <c r="AU2" s="1">
        <v>53</v>
      </c>
    </row>
    <row r="3" spans="1:47" ht="15.75" x14ac:dyDescent="0.25">
      <c r="A3" s="18"/>
      <c r="B3" s="5"/>
      <c r="C3" s="5"/>
      <c r="D3" s="5"/>
      <c r="E3" s="77" t="s">
        <v>45</v>
      </c>
      <c r="F3" s="77"/>
      <c r="G3" s="80"/>
      <c r="H3" s="80"/>
      <c r="I3" s="80"/>
      <c r="J3" s="80"/>
      <c r="K3" s="80"/>
      <c r="L3" s="80"/>
      <c r="M3" s="80"/>
      <c r="N3" s="5"/>
      <c r="O3" s="5"/>
      <c r="P3" s="5"/>
      <c r="Q3" s="5"/>
      <c r="R3" s="5"/>
      <c r="S3" s="2"/>
      <c r="T3" s="2"/>
      <c r="U3" s="2"/>
      <c r="V3" s="47"/>
      <c r="AB3" s="27"/>
      <c r="AJ3"/>
      <c r="AL3" s="27"/>
      <c r="AM3" s="27"/>
      <c r="AU3" s="1">
        <v>58</v>
      </c>
    </row>
    <row r="4" spans="1:47" ht="15.75" x14ac:dyDescent="0.25">
      <c r="A4" s="18"/>
      <c r="B4" s="5"/>
      <c r="C4" s="5"/>
      <c r="D4" s="5"/>
      <c r="E4" s="7"/>
      <c r="F4" s="7"/>
      <c r="G4" s="5"/>
      <c r="H4" s="8"/>
      <c r="I4" s="8"/>
      <c r="J4" s="8"/>
      <c r="K4" s="8"/>
      <c r="L4" s="8"/>
      <c r="M4" s="8"/>
      <c r="N4" s="5"/>
      <c r="O4" s="5"/>
      <c r="P4" s="5"/>
      <c r="Q4" s="5"/>
      <c r="R4" s="5"/>
      <c r="S4" s="2"/>
      <c r="T4" s="2"/>
      <c r="U4" s="2"/>
      <c r="V4" s="47"/>
      <c r="AB4" s="27"/>
      <c r="AJ4"/>
      <c r="AL4" s="27"/>
      <c r="AM4" s="27"/>
    </row>
    <row r="5" spans="1:47" ht="15.75" x14ac:dyDescent="0.25">
      <c r="A5" s="18"/>
      <c r="B5" s="5"/>
      <c r="C5" s="5"/>
      <c r="D5" s="5"/>
      <c r="E5" s="77" t="s">
        <v>46</v>
      </c>
      <c r="F5" s="77"/>
      <c r="G5" s="80"/>
      <c r="H5" s="80"/>
      <c r="I5" s="80"/>
      <c r="J5" s="80"/>
      <c r="K5" s="80"/>
      <c r="L5" s="80"/>
      <c r="M5" s="80"/>
      <c r="N5" s="5"/>
      <c r="O5" s="5"/>
      <c r="P5" s="5"/>
      <c r="Q5" s="5"/>
      <c r="R5" s="5"/>
      <c r="S5" s="2"/>
      <c r="T5" s="2"/>
      <c r="U5" s="2"/>
      <c r="V5" s="47"/>
      <c r="AA5" s="27"/>
      <c r="AJ5"/>
      <c r="AL5" s="27"/>
      <c r="AM5" s="27"/>
    </row>
    <row r="6" spans="1:47" ht="15.75" x14ac:dyDescent="0.25">
      <c r="A6" s="18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2"/>
      <c r="T6" s="2"/>
      <c r="U6" s="2"/>
      <c r="V6" s="47"/>
      <c r="AA6" s="27"/>
      <c r="AJ6"/>
      <c r="AL6" s="27"/>
      <c r="AM6" s="27"/>
    </row>
    <row r="7" spans="1:47" ht="15.75" x14ac:dyDescent="0.25">
      <c r="A7" s="18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2"/>
      <c r="T7" s="2"/>
      <c r="U7" s="2"/>
      <c r="V7" s="47"/>
      <c r="AA7" s="27"/>
      <c r="AJ7"/>
      <c r="AL7" s="27"/>
      <c r="AM7" s="27"/>
    </row>
    <row r="8" spans="1:47" ht="15.75" x14ac:dyDescent="0.25">
      <c r="A8" s="18"/>
      <c r="B8" s="77" t="s">
        <v>82</v>
      </c>
      <c r="C8" s="77"/>
      <c r="D8" s="77"/>
      <c r="E8" s="77"/>
      <c r="F8" s="78"/>
      <c r="G8" s="78"/>
      <c r="H8" s="78"/>
      <c r="I8" s="78"/>
      <c r="J8" s="78"/>
      <c r="K8" s="78"/>
      <c r="L8" s="78"/>
      <c r="M8" s="78"/>
      <c r="N8" s="5"/>
      <c r="O8" s="5"/>
      <c r="P8" s="5"/>
      <c r="Q8" s="5"/>
      <c r="R8" s="5"/>
      <c r="S8" s="2"/>
      <c r="T8" s="2"/>
      <c r="U8" s="2"/>
      <c r="V8" s="47"/>
      <c r="AA8" s="27"/>
      <c r="AJ8"/>
      <c r="AL8" s="27"/>
      <c r="AM8" s="27"/>
    </row>
    <row r="9" spans="1:47" ht="15.75" x14ac:dyDescent="0.25">
      <c r="A9" s="18"/>
      <c r="B9" s="77" t="s">
        <v>13</v>
      </c>
      <c r="C9" s="77"/>
      <c r="D9" s="77"/>
      <c r="E9" s="77"/>
      <c r="F9" s="79"/>
      <c r="G9" s="79"/>
      <c r="H9" s="79"/>
      <c r="I9" s="79"/>
      <c r="J9" s="79"/>
      <c r="K9" s="79"/>
      <c r="L9" s="79"/>
      <c r="M9" s="79"/>
      <c r="N9" s="5"/>
      <c r="O9" s="5"/>
      <c r="P9" s="5"/>
      <c r="Q9" s="5"/>
      <c r="R9" s="5"/>
      <c r="S9" s="2"/>
      <c r="T9" s="2"/>
      <c r="U9" s="2"/>
      <c r="V9" s="47"/>
      <c r="AA9" s="27"/>
      <c r="AJ9"/>
      <c r="AL9" s="27"/>
      <c r="AM9" s="27"/>
    </row>
    <row r="10" spans="1:47" ht="15.75" x14ac:dyDescent="0.25">
      <c r="A10" s="18"/>
      <c r="B10" s="77" t="s">
        <v>83</v>
      </c>
      <c r="C10" s="77"/>
      <c r="D10" s="77"/>
      <c r="E10" s="77"/>
      <c r="F10" s="6" t="s">
        <v>14</v>
      </c>
      <c r="G10" s="9"/>
      <c r="H10" s="46"/>
      <c r="I10" s="10"/>
      <c r="J10" s="11" t="s">
        <v>15</v>
      </c>
      <c r="K10" s="12"/>
      <c r="L10" s="5"/>
      <c r="M10" s="5"/>
      <c r="N10" s="5"/>
      <c r="O10" s="5"/>
      <c r="P10" s="5"/>
      <c r="Q10" s="5"/>
      <c r="R10" s="5"/>
      <c r="S10" s="2"/>
      <c r="T10" s="2"/>
      <c r="U10" s="2"/>
      <c r="V10" s="47"/>
      <c r="AJ10"/>
      <c r="AL10" s="27"/>
      <c r="AM10" s="27"/>
    </row>
    <row r="11" spans="1:47" ht="15.75" x14ac:dyDescent="0.25">
      <c r="A11" s="18"/>
      <c r="B11" s="77"/>
      <c r="C11" s="77"/>
      <c r="D11" s="77"/>
      <c r="E11" s="77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2"/>
      <c r="T11" s="2"/>
      <c r="U11" s="2"/>
      <c r="V11" s="47"/>
      <c r="AJ11"/>
      <c r="AL11" s="27"/>
      <c r="AM11" s="27"/>
    </row>
    <row r="12" spans="1:47" ht="16.5" thickBot="1" x14ac:dyDescent="0.3">
      <c r="A12" s="18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2"/>
      <c r="T12" s="2"/>
      <c r="U12" s="2"/>
      <c r="V12" s="47"/>
      <c r="AJ12"/>
      <c r="AL12" s="27"/>
      <c r="AM12" s="27"/>
    </row>
    <row r="13" spans="1:47" ht="16.5" thickBot="1" x14ac:dyDescent="0.3">
      <c r="A13" s="18"/>
      <c r="B13" s="41" t="s">
        <v>81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3"/>
      <c r="R13" s="42"/>
      <c r="S13" s="42"/>
      <c r="T13" s="42"/>
      <c r="U13" s="43"/>
      <c r="V13" s="47"/>
      <c r="AJ13"/>
      <c r="AL13" s="27"/>
      <c r="AM13" s="27"/>
    </row>
    <row r="14" spans="1:47" ht="6" customHeight="1" thickBot="1" x14ac:dyDescent="0.3">
      <c r="A14" s="18"/>
      <c r="B14" s="18"/>
      <c r="C14" s="5"/>
      <c r="D14" s="5"/>
      <c r="E14" s="5"/>
      <c r="F14" s="5"/>
      <c r="G14" s="13"/>
      <c r="H14" s="5"/>
      <c r="I14" s="5"/>
      <c r="J14" s="5"/>
      <c r="K14" s="5"/>
      <c r="L14" s="5"/>
      <c r="M14" s="5"/>
      <c r="N14" s="5"/>
      <c r="O14" s="5"/>
      <c r="P14" s="5"/>
      <c r="Q14" s="19"/>
      <c r="R14" s="5"/>
      <c r="S14" s="5"/>
      <c r="T14" s="5"/>
      <c r="U14" s="50"/>
      <c r="V14" s="47"/>
      <c r="AJ14"/>
      <c r="AL14" s="27"/>
      <c r="AM14" s="27"/>
    </row>
    <row r="15" spans="1:47" ht="24" customHeight="1" x14ac:dyDescent="0.25">
      <c r="A15" s="18"/>
      <c r="B15" s="93" t="s">
        <v>16</v>
      </c>
      <c r="C15" s="88" t="s">
        <v>0</v>
      </c>
      <c r="D15" s="89"/>
      <c r="E15" s="92" t="s">
        <v>1</v>
      </c>
      <c r="F15" s="90" t="s">
        <v>2</v>
      </c>
      <c r="G15" s="95" t="s">
        <v>11</v>
      </c>
      <c r="H15" s="87" t="s">
        <v>3</v>
      </c>
      <c r="I15" s="88"/>
      <c r="J15" s="88"/>
      <c r="K15" s="88"/>
      <c r="L15" s="89"/>
      <c r="M15" s="92" t="s">
        <v>4</v>
      </c>
      <c r="N15" s="92"/>
      <c r="O15" s="92"/>
      <c r="P15" s="92"/>
      <c r="Q15" s="92"/>
      <c r="R15" s="97" t="s">
        <v>51</v>
      </c>
      <c r="S15" s="98"/>
      <c r="T15" s="98"/>
      <c r="U15" s="99"/>
      <c r="V15" s="47"/>
      <c r="AJ15"/>
      <c r="AL15" s="27"/>
      <c r="AM15" s="27"/>
    </row>
    <row r="16" spans="1:47" ht="48" thickBot="1" x14ac:dyDescent="0.3">
      <c r="A16" s="18"/>
      <c r="B16" s="94"/>
      <c r="C16" s="14" t="s">
        <v>5</v>
      </c>
      <c r="D16" s="15" t="s">
        <v>6</v>
      </c>
      <c r="E16" s="91"/>
      <c r="F16" s="91"/>
      <c r="G16" s="96"/>
      <c r="H16" s="15" t="s">
        <v>84</v>
      </c>
      <c r="I16" s="15" t="s">
        <v>7</v>
      </c>
      <c r="J16" s="15" t="s">
        <v>8</v>
      </c>
      <c r="K16" s="15" t="s">
        <v>9</v>
      </c>
      <c r="L16" s="15" t="s">
        <v>10</v>
      </c>
      <c r="M16" s="15" t="s">
        <v>84</v>
      </c>
      <c r="N16" s="15" t="s">
        <v>7</v>
      </c>
      <c r="O16" s="15" t="s">
        <v>8</v>
      </c>
      <c r="P16" s="15" t="s">
        <v>9</v>
      </c>
      <c r="Q16" s="15" t="s">
        <v>10</v>
      </c>
      <c r="R16" s="51" t="s">
        <v>52</v>
      </c>
      <c r="S16" s="51" t="s">
        <v>53</v>
      </c>
      <c r="T16" s="51" t="s">
        <v>54</v>
      </c>
      <c r="U16" s="51" t="s">
        <v>55</v>
      </c>
      <c r="V16" s="47"/>
      <c r="W16" s="64"/>
      <c r="AJ16"/>
      <c r="AL16" s="27"/>
      <c r="AM16" s="27"/>
    </row>
    <row r="17" spans="1:39" ht="6" customHeight="1" thickBot="1" x14ac:dyDescent="0.3">
      <c r="A17" s="18"/>
      <c r="B17" s="32"/>
      <c r="C17" s="33"/>
      <c r="D17" s="33"/>
      <c r="E17" s="33"/>
      <c r="F17" s="33"/>
      <c r="G17" s="34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52"/>
      <c r="V17" s="47"/>
      <c r="W17" s="64"/>
      <c r="AJ17"/>
      <c r="AL17" s="27"/>
      <c r="AM17" s="27"/>
    </row>
    <row r="18" spans="1:39" ht="15.75" x14ac:dyDescent="0.25">
      <c r="A18" s="18"/>
      <c r="B18" s="35" t="s">
        <v>32</v>
      </c>
      <c r="C18" s="36" t="s">
        <v>32</v>
      </c>
      <c r="D18" s="36" t="s">
        <v>32</v>
      </c>
      <c r="E18" s="36" t="s">
        <v>32</v>
      </c>
      <c r="F18" s="38" t="s">
        <v>32</v>
      </c>
      <c r="G18" s="37" t="s">
        <v>32</v>
      </c>
      <c r="H18" s="37" t="s">
        <v>32</v>
      </c>
      <c r="I18" s="39" t="s">
        <v>32</v>
      </c>
      <c r="J18" s="39" t="s">
        <v>32</v>
      </c>
      <c r="K18" s="39" t="s">
        <v>32</v>
      </c>
      <c r="L18" s="68">
        <f>SUM(I18:K18)</f>
        <v>0</v>
      </c>
      <c r="M18" s="37"/>
      <c r="N18" s="39"/>
      <c r="O18" s="39"/>
      <c r="P18" s="39"/>
      <c r="Q18" s="71">
        <f>SUM(N18:P18)</f>
        <v>0</v>
      </c>
      <c r="R18" s="75">
        <f>+S18+U18</f>
        <v>0</v>
      </c>
      <c r="S18" s="53"/>
      <c r="T18" s="53"/>
      <c r="U18" s="54"/>
      <c r="V18" s="47"/>
      <c r="W18" s="67" t="str">
        <f t="shared" ref="W18:W40" si="0">IF(B18&lt;&gt;"",INDEX(AA:AA,MATCH(B18,AB:AB,0),1),"")</f>
        <v/>
      </c>
      <c r="Y18" s="65">
        <f>S18+U18</f>
        <v>0</v>
      </c>
      <c r="AJ18"/>
      <c r="AK18" s="65"/>
      <c r="AL18" s="27"/>
      <c r="AM18" s="27"/>
    </row>
    <row r="19" spans="1:39" ht="15.75" x14ac:dyDescent="0.25">
      <c r="A19" s="18"/>
      <c r="B19" s="28" t="s">
        <v>32</v>
      </c>
      <c r="C19" s="29" t="s">
        <v>32</v>
      </c>
      <c r="D19" s="29" t="s">
        <v>32</v>
      </c>
      <c r="E19" s="29" t="s">
        <v>32</v>
      </c>
      <c r="F19" s="30" t="s">
        <v>32</v>
      </c>
      <c r="G19" s="37" t="s">
        <v>32</v>
      </c>
      <c r="H19" s="31" t="s">
        <v>32</v>
      </c>
      <c r="I19" s="40" t="s">
        <v>32</v>
      </c>
      <c r="J19" s="40" t="s">
        <v>32</v>
      </c>
      <c r="K19" s="40" t="s">
        <v>32</v>
      </c>
      <c r="L19" s="69">
        <f t="shared" ref="L19:L37" si="1">SUM(I19:K19)</f>
        <v>0</v>
      </c>
      <c r="M19" s="31"/>
      <c r="N19" s="40"/>
      <c r="O19" s="40"/>
      <c r="P19" s="40"/>
      <c r="Q19" s="71">
        <f t="shared" ref="Q19:Q41" si="2">SUM(N19:P19)</f>
        <v>0</v>
      </c>
      <c r="R19" s="75">
        <f t="shared" ref="R19:R41" si="3">+S19+U19</f>
        <v>0</v>
      </c>
      <c r="S19" s="53"/>
      <c r="T19" s="53"/>
      <c r="U19" s="54"/>
      <c r="V19" s="47"/>
      <c r="W19" s="67" t="str">
        <f t="shared" si="0"/>
        <v/>
      </c>
      <c r="Y19" s="65">
        <f t="shared" ref="Y19:Y41" si="4">S19+U19</f>
        <v>0</v>
      </c>
      <c r="AJ19"/>
      <c r="AK19" s="65"/>
      <c r="AL19" s="27"/>
      <c r="AM19" s="27"/>
    </row>
    <row r="20" spans="1:39" ht="15.75" x14ac:dyDescent="0.25">
      <c r="A20" s="18"/>
      <c r="B20" s="28" t="s">
        <v>32</v>
      </c>
      <c r="C20" s="29" t="s">
        <v>32</v>
      </c>
      <c r="D20" s="29" t="s">
        <v>32</v>
      </c>
      <c r="E20" s="29" t="s">
        <v>32</v>
      </c>
      <c r="F20" s="30" t="s">
        <v>32</v>
      </c>
      <c r="G20" s="37" t="s">
        <v>32</v>
      </c>
      <c r="H20" s="31" t="s">
        <v>32</v>
      </c>
      <c r="I20" s="40" t="s">
        <v>32</v>
      </c>
      <c r="J20" s="40" t="s">
        <v>32</v>
      </c>
      <c r="K20" s="40" t="s">
        <v>32</v>
      </c>
      <c r="L20" s="69">
        <f t="shared" si="1"/>
        <v>0</v>
      </c>
      <c r="M20" s="31"/>
      <c r="N20" s="40"/>
      <c r="O20" s="40"/>
      <c r="P20" s="40"/>
      <c r="Q20" s="71">
        <f t="shared" si="2"/>
        <v>0</v>
      </c>
      <c r="R20" s="75">
        <f t="shared" si="3"/>
        <v>0</v>
      </c>
      <c r="S20" s="53"/>
      <c r="T20" s="53"/>
      <c r="U20" s="54"/>
      <c r="V20" s="47"/>
      <c r="W20" s="67" t="str">
        <f t="shared" si="0"/>
        <v/>
      </c>
      <c r="Y20" s="65">
        <f t="shared" si="4"/>
        <v>0</v>
      </c>
      <c r="AJ20"/>
      <c r="AK20" s="65"/>
      <c r="AL20" s="27"/>
      <c r="AM20" s="27"/>
    </row>
    <row r="21" spans="1:39" ht="15.75" x14ac:dyDescent="0.25">
      <c r="A21" s="18"/>
      <c r="B21" s="28" t="s">
        <v>32</v>
      </c>
      <c r="C21" s="29" t="s">
        <v>32</v>
      </c>
      <c r="D21" s="29" t="s">
        <v>32</v>
      </c>
      <c r="E21" s="29" t="s">
        <v>32</v>
      </c>
      <c r="F21" s="30" t="s">
        <v>32</v>
      </c>
      <c r="G21" s="37" t="s">
        <v>32</v>
      </c>
      <c r="H21" s="31" t="s">
        <v>32</v>
      </c>
      <c r="I21" s="40" t="s">
        <v>32</v>
      </c>
      <c r="J21" s="40" t="s">
        <v>32</v>
      </c>
      <c r="K21" s="40" t="s">
        <v>32</v>
      </c>
      <c r="L21" s="69">
        <f t="shared" si="1"/>
        <v>0</v>
      </c>
      <c r="M21" s="31"/>
      <c r="N21" s="40"/>
      <c r="O21" s="40"/>
      <c r="P21" s="40"/>
      <c r="Q21" s="71">
        <f t="shared" si="2"/>
        <v>0</v>
      </c>
      <c r="R21" s="75">
        <f t="shared" si="3"/>
        <v>0</v>
      </c>
      <c r="S21" s="53"/>
      <c r="T21" s="53"/>
      <c r="U21" s="54"/>
      <c r="V21" s="47"/>
      <c r="W21" s="67" t="str">
        <f t="shared" si="0"/>
        <v/>
      </c>
      <c r="Y21" s="65">
        <f t="shared" si="4"/>
        <v>0</v>
      </c>
      <c r="AJ21"/>
      <c r="AK21" s="65"/>
      <c r="AL21" s="27"/>
      <c r="AM21" s="27"/>
    </row>
    <row r="22" spans="1:39" ht="15.75" x14ac:dyDescent="0.25">
      <c r="A22" s="18"/>
      <c r="B22" s="28" t="s">
        <v>32</v>
      </c>
      <c r="C22" s="29" t="s">
        <v>32</v>
      </c>
      <c r="D22" s="29" t="s">
        <v>32</v>
      </c>
      <c r="E22" s="29" t="s">
        <v>32</v>
      </c>
      <c r="F22" s="30" t="s">
        <v>32</v>
      </c>
      <c r="G22" s="37" t="s">
        <v>32</v>
      </c>
      <c r="H22" s="31" t="s">
        <v>32</v>
      </c>
      <c r="I22" s="40" t="s">
        <v>32</v>
      </c>
      <c r="J22" s="40" t="s">
        <v>32</v>
      </c>
      <c r="K22" s="40" t="s">
        <v>32</v>
      </c>
      <c r="L22" s="69">
        <f t="shared" si="1"/>
        <v>0</v>
      </c>
      <c r="M22" s="31"/>
      <c r="N22" s="40"/>
      <c r="O22" s="40"/>
      <c r="P22" s="40"/>
      <c r="Q22" s="71">
        <f t="shared" si="2"/>
        <v>0</v>
      </c>
      <c r="R22" s="75">
        <f t="shared" si="3"/>
        <v>0</v>
      </c>
      <c r="S22" s="53"/>
      <c r="T22" s="53"/>
      <c r="U22" s="54"/>
      <c r="V22" s="47"/>
      <c r="W22" s="67" t="str">
        <f t="shared" si="0"/>
        <v/>
      </c>
      <c r="Y22" s="65">
        <f t="shared" si="4"/>
        <v>0</v>
      </c>
      <c r="AJ22"/>
      <c r="AK22" s="65"/>
      <c r="AL22" s="27"/>
      <c r="AM22" s="27"/>
    </row>
    <row r="23" spans="1:39" ht="15.75" x14ac:dyDescent="0.25">
      <c r="A23" s="18"/>
      <c r="B23" s="28" t="s">
        <v>32</v>
      </c>
      <c r="C23" s="29" t="s">
        <v>32</v>
      </c>
      <c r="D23" s="29" t="s">
        <v>32</v>
      </c>
      <c r="E23" s="29" t="s">
        <v>32</v>
      </c>
      <c r="F23" s="30" t="s">
        <v>32</v>
      </c>
      <c r="G23" s="37" t="s">
        <v>32</v>
      </c>
      <c r="H23" s="31" t="s">
        <v>32</v>
      </c>
      <c r="I23" s="40" t="s">
        <v>32</v>
      </c>
      <c r="J23" s="40" t="s">
        <v>32</v>
      </c>
      <c r="K23" s="40" t="s">
        <v>32</v>
      </c>
      <c r="L23" s="69">
        <f t="shared" si="1"/>
        <v>0</v>
      </c>
      <c r="M23" s="31"/>
      <c r="N23" s="40"/>
      <c r="O23" s="40"/>
      <c r="P23" s="40"/>
      <c r="Q23" s="71">
        <f t="shared" si="2"/>
        <v>0</v>
      </c>
      <c r="R23" s="75">
        <f t="shared" si="3"/>
        <v>0</v>
      </c>
      <c r="S23" s="53"/>
      <c r="T23" s="53"/>
      <c r="U23" s="54"/>
      <c r="V23" s="47"/>
      <c r="W23" s="67" t="str">
        <f t="shared" si="0"/>
        <v/>
      </c>
      <c r="Y23" s="65">
        <f t="shared" si="4"/>
        <v>0</v>
      </c>
      <c r="AJ23"/>
      <c r="AK23" s="65"/>
      <c r="AL23" s="27"/>
      <c r="AM23" s="27"/>
    </row>
    <row r="24" spans="1:39" ht="15.75" x14ac:dyDescent="0.25">
      <c r="A24" s="18"/>
      <c r="B24" s="28" t="s">
        <v>32</v>
      </c>
      <c r="C24" s="29" t="s">
        <v>32</v>
      </c>
      <c r="D24" s="29" t="s">
        <v>32</v>
      </c>
      <c r="E24" s="29" t="s">
        <v>32</v>
      </c>
      <c r="F24" s="30" t="s">
        <v>32</v>
      </c>
      <c r="G24" s="37" t="s">
        <v>32</v>
      </c>
      <c r="H24" s="31" t="s">
        <v>32</v>
      </c>
      <c r="I24" s="40" t="s">
        <v>32</v>
      </c>
      <c r="J24" s="40" t="s">
        <v>32</v>
      </c>
      <c r="K24" s="40" t="s">
        <v>32</v>
      </c>
      <c r="L24" s="69">
        <f t="shared" si="1"/>
        <v>0</v>
      </c>
      <c r="M24" s="31"/>
      <c r="N24" s="40"/>
      <c r="O24" s="40"/>
      <c r="P24" s="40"/>
      <c r="Q24" s="71">
        <f t="shared" si="2"/>
        <v>0</v>
      </c>
      <c r="R24" s="75">
        <f t="shared" si="3"/>
        <v>0</v>
      </c>
      <c r="S24" s="53"/>
      <c r="T24" s="53"/>
      <c r="U24" s="54"/>
      <c r="V24" s="47"/>
      <c r="W24" s="67" t="str">
        <f t="shared" si="0"/>
        <v/>
      </c>
      <c r="Y24" s="65">
        <f t="shared" si="4"/>
        <v>0</v>
      </c>
      <c r="AJ24"/>
      <c r="AK24" s="65"/>
      <c r="AL24" s="27"/>
      <c r="AM24" s="27"/>
    </row>
    <row r="25" spans="1:39" ht="15.75" x14ac:dyDescent="0.25">
      <c r="A25" s="18"/>
      <c r="B25" s="28" t="s">
        <v>32</v>
      </c>
      <c r="C25" s="29" t="s">
        <v>32</v>
      </c>
      <c r="D25" s="29" t="s">
        <v>32</v>
      </c>
      <c r="E25" s="29" t="s">
        <v>32</v>
      </c>
      <c r="F25" s="30" t="s">
        <v>32</v>
      </c>
      <c r="G25" s="37" t="s">
        <v>32</v>
      </c>
      <c r="H25" s="31" t="s">
        <v>32</v>
      </c>
      <c r="I25" s="40" t="s">
        <v>32</v>
      </c>
      <c r="J25" s="40" t="s">
        <v>32</v>
      </c>
      <c r="K25" s="40" t="s">
        <v>32</v>
      </c>
      <c r="L25" s="69">
        <f t="shared" si="1"/>
        <v>0</v>
      </c>
      <c r="M25" s="31"/>
      <c r="N25" s="40"/>
      <c r="O25" s="40"/>
      <c r="P25" s="40"/>
      <c r="Q25" s="71">
        <f t="shared" si="2"/>
        <v>0</v>
      </c>
      <c r="R25" s="75">
        <f t="shared" si="3"/>
        <v>0</v>
      </c>
      <c r="S25" s="53"/>
      <c r="T25" s="53"/>
      <c r="U25" s="54"/>
      <c r="V25" s="47"/>
      <c r="W25" s="67" t="str">
        <f t="shared" si="0"/>
        <v/>
      </c>
      <c r="Y25" s="65">
        <f t="shared" si="4"/>
        <v>0</v>
      </c>
      <c r="AJ25"/>
      <c r="AK25" s="65"/>
      <c r="AL25" s="27"/>
      <c r="AM25" s="27"/>
    </row>
    <row r="26" spans="1:39" ht="15.75" x14ac:dyDescent="0.25">
      <c r="A26" s="18"/>
      <c r="B26" s="28" t="s">
        <v>32</v>
      </c>
      <c r="C26" s="29" t="s">
        <v>32</v>
      </c>
      <c r="D26" s="29" t="s">
        <v>32</v>
      </c>
      <c r="E26" s="29" t="s">
        <v>32</v>
      </c>
      <c r="F26" s="30" t="s">
        <v>32</v>
      </c>
      <c r="G26" s="37" t="s">
        <v>32</v>
      </c>
      <c r="H26" s="31" t="s">
        <v>32</v>
      </c>
      <c r="I26" s="40" t="s">
        <v>32</v>
      </c>
      <c r="J26" s="40" t="s">
        <v>32</v>
      </c>
      <c r="K26" s="40" t="s">
        <v>32</v>
      </c>
      <c r="L26" s="69">
        <f t="shared" si="1"/>
        <v>0</v>
      </c>
      <c r="M26" s="31"/>
      <c r="N26" s="40"/>
      <c r="O26" s="40"/>
      <c r="P26" s="40"/>
      <c r="Q26" s="71">
        <f t="shared" si="2"/>
        <v>0</v>
      </c>
      <c r="R26" s="75">
        <f t="shared" si="3"/>
        <v>0</v>
      </c>
      <c r="S26" s="53"/>
      <c r="T26" s="53"/>
      <c r="U26" s="54"/>
      <c r="V26" s="47"/>
      <c r="W26" s="67" t="str">
        <f t="shared" si="0"/>
        <v/>
      </c>
      <c r="Y26" s="65">
        <f t="shared" si="4"/>
        <v>0</v>
      </c>
      <c r="AJ26"/>
      <c r="AK26" s="65"/>
      <c r="AL26" s="27"/>
      <c r="AM26" s="27"/>
    </row>
    <row r="27" spans="1:39" ht="15.75" x14ac:dyDescent="0.25">
      <c r="A27" s="18"/>
      <c r="B27" s="28" t="s">
        <v>32</v>
      </c>
      <c r="C27" s="29" t="s">
        <v>32</v>
      </c>
      <c r="D27" s="29" t="s">
        <v>32</v>
      </c>
      <c r="E27" s="29" t="s">
        <v>32</v>
      </c>
      <c r="F27" s="30" t="s">
        <v>32</v>
      </c>
      <c r="G27" s="37" t="s">
        <v>32</v>
      </c>
      <c r="H27" s="31" t="s">
        <v>32</v>
      </c>
      <c r="I27" s="40" t="s">
        <v>32</v>
      </c>
      <c r="J27" s="40" t="s">
        <v>32</v>
      </c>
      <c r="K27" s="40" t="s">
        <v>32</v>
      </c>
      <c r="L27" s="69">
        <f t="shared" si="1"/>
        <v>0</v>
      </c>
      <c r="M27" s="31"/>
      <c r="N27" s="40"/>
      <c r="O27" s="40"/>
      <c r="P27" s="40"/>
      <c r="Q27" s="71">
        <f t="shared" si="2"/>
        <v>0</v>
      </c>
      <c r="R27" s="75">
        <f t="shared" si="3"/>
        <v>0</v>
      </c>
      <c r="S27" s="53"/>
      <c r="T27" s="53"/>
      <c r="U27" s="54"/>
      <c r="V27" s="47"/>
      <c r="W27" s="67" t="str">
        <f t="shared" si="0"/>
        <v/>
      </c>
      <c r="Y27" s="65">
        <f t="shared" si="4"/>
        <v>0</v>
      </c>
      <c r="AJ27"/>
      <c r="AK27" s="65"/>
      <c r="AL27" s="27"/>
      <c r="AM27" s="27"/>
    </row>
    <row r="28" spans="1:39" ht="15.75" x14ac:dyDescent="0.25">
      <c r="A28" s="18"/>
      <c r="B28" s="28" t="s">
        <v>32</v>
      </c>
      <c r="C28" s="29" t="s">
        <v>32</v>
      </c>
      <c r="D28" s="29" t="s">
        <v>32</v>
      </c>
      <c r="E28" s="29" t="s">
        <v>32</v>
      </c>
      <c r="F28" s="30" t="s">
        <v>32</v>
      </c>
      <c r="G28" s="37" t="s">
        <v>32</v>
      </c>
      <c r="H28" s="31" t="s">
        <v>32</v>
      </c>
      <c r="I28" s="40" t="s">
        <v>32</v>
      </c>
      <c r="J28" s="40" t="s">
        <v>32</v>
      </c>
      <c r="K28" s="40" t="s">
        <v>32</v>
      </c>
      <c r="L28" s="69">
        <f t="shared" si="1"/>
        <v>0</v>
      </c>
      <c r="M28" s="31"/>
      <c r="N28" s="40"/>
      <c r="O28" s="40"/>
      <c r="P28" s="40"/>
      <c r="Q28" s="71">
        <f t="shared" si="2"/>
        <v>0</v>
      </c>
      <c r="R28" s="75">
        <f t="shared" si="3"/>
        <v>0</v>
      </c>
      <c r="S28" s="53"/>
      <c r="T28" s="53"/>
      <c r="U28" s="54"/>
      <c r="V28" s="47"/>
      <c r="W28" s="67" t="str">
        <f t="shared" si="0"/>
        <v/>
      </c>
      <c r="Y28" s="65">
        <f t="shared" si="4"/>
        <v>0</v>
      </c>
      <c r="AJ28"/>
      <c r="AK28" s="65"/>
      <c r="AL28" s="27"/>
      <c r="AM28" s="27"/>
    </row>
    <row r="29" spans="1:39" ht="15.75" x14ac:dyDescent="0.25">
      <c r="A29" s="18"/>
      <c r="B29" s="28" t="s">
        <v>32</v>
      </c>
      <c r="C29" s="29" t="s">
        <v>32</v>
      </c>
      <c r="D29" s="29" t="s">
        <v>32</v>
      </c>
      <c r="E29" s="29" t="s">
        <v>32</v>
      </c>
      <c r="F29" s="30" t="s">
        <v>32</v>
      </c>
      <c r="G29" s="37" t="s">
        <v>32</v>
      </c>
      <c r="H29" s="31" t="s">
        <v>32</v>
      </c>
      <c r="I29" s="40" t="s">
        <v>32</v>
      </c>
      <c r="J29" s="40" t="s">
        <v>32</v>
      </c>
      <c r="K29" s="40" t="s">
        <v>32</v>
      </c>
      <c r="L29" s="69">
        <f t="shared" si="1"/>
        <v>0</v>
      </c>
      <c r="M29" s="31"/>
      <c r="N29" s="40"/>
      <c r="O29" s="40"/>
      <c r="P29" s="40"/>
      <c r="Q29" s="71">
        <f t="shared" si="2"/>
        <v>0</v>
      </c>
      <c r="R29" s="75">
        <f t="shared" si="3"/>
        <v>0</v>
      </c>
      <c r="S29" s="53"/>
      <c r="T29" s="53"/>
      <c r="U29" s="54"/>
      <c r="V29" s="47"/>
      <c r="W29" s="67" t="str">
        <f t="shared" si="0"/>
        <v/>
      </c>
      <c r="Y29" s="65">
        <f t="shared" si="4"/>
        <v>0</v>
      </c>
      <c r="AJ29"/>
      <c r="AK29" s="65"/>
      <c r="AL29" s="27"/>
      <c r="AM29" s="27"/>
    </row>
    <row r="30" spans="1:39" ht="15.75" x14ac:dyDescent="0.25">
      <c r="A30" s="18"/>
      <c r="B30" s="28" t="s">
        <v>32</v>
      </c>
      <c r="C30" s="29" t="s">
        <v>32</v>
      </c>
      <c r="D30" s="29" t="s">
        <v>32</v>
      </c>
      <c r="E30" s="29" t="s">
        <v>32</v>
      </c>
      <c r="F30" s="30" t="s">
        <v>32</v>
      </c>
      <c r="G30" s="37" t="s">
        <v>32</v>
      </c>
      <c r="H30" s="31" t="s">
        <v>32</v>
      </c>
      <c r="I30" s="40" t="s">
        <v>32</v>
      </c>
      <c r="J30" s="40" t="s">
        <v>32</v>
      </c>
      <c r="K30" s="40" t="s">
        <v>32</v>
      </c>
      <c r="L30" s="69">
        <f t="shared" si="1"/>
        <v>0</v>
      </c>
      <c r="M30" s="31"/>
      <c r="N30" s="40"/>
      <c r="O30" s="40"/>
      <c r="P30" s="40"/>
      <c r="Q30" s="71">
        <f t="shared" si="2"/>
        <v>0</v>
      </c>
      <c r="R30" s="75">
        <f t="shared" si="3"/>
        <v>0</v>
      </c>
      <c r="S30" s="53"/>
      <c r="T30" s="53"/>
      <c r="U30" s="54"/>
      <c r="V30" s="47"/>
      <c r="W30" s="67" t="str">
        <f t="shared" si="0"/>
        <v/>
      </c>
      <c r="Y30" s="65">
        <f t="shared" si="4"/>
        <v>0</v>
      </c>
      <c r="AJ30"/>
      <c r="AK30" s="65"/>
      <c r="AL30" s="27"/>
      <c r="AM30" s="27"/>
    </row>
    <row r="31" spans="1:39" ht="15.75" x14ac:dyDescent="0.25">
      <c r="A31" s="18"/>
      <c r="B31" s="28" t="s">
        <v>32</v>
      </c>
      <c r="C31" s="29" t="s">
        <v>32</v>
      </c>
      <c r="D31" s="29" t="s">
        <v>32</v>
      </c>
      <c r="E31" s="29" t="s">
        <v>32</v>
      </c>
      <c r="F31" s="30" t="s">
        <v>32</v>
      </c>
      <c r="G31" s="37" t="s">
        <v>32</v>
      </c>
      <c r="H31" s="31" t="s">
        <v>32</v>
      </c>
      <c r="I31" s="40" t="s">
        <v>32</v>
      </c>
      <c r="J31" s="40" t="s">
        <v>32</v>
      </c>
      <c r="K31" s="40" t="s">
        <v>32</v>
      </c>
      <c r="L31" s="69">
        <f t="shared" si="1"/>
        <v>0</v>
      </c>
      <c r="M31" s="31"/>
      <c r="N31" s="40"/>
      <c r="O31" s="40"/>
      <c r="P31" s="40"/>
      <c r="Q31" s="71">
        <f t="shared" si="2"/>
        <v>0</v>
      </c>
      <c r="R31" s="75">
        <f t="shared" si="3"/>
        <v>0</v>
      </c>
      <c r="S31" s="53"/>
      <c r="T31" s="53"/>
      <c r="U31" s="54"/>
      <c r="V31" s="47"/>
      <c r="W31" s="67" t="str">
        <f t="shared" si="0"/>
        <v/>
      </c>
      <c r="Y31" s="65">
        <f t="shared" si="4"/>
        <v>0</v>
      </c>
      <c r="AJ31"/>
      <c r="AK31" s="65"/>
      <c r="AL31" s="27"/>
      <c r="AM31" s="27"/>
    </row>
    <row r="32" spans="1:39" ht="15.75" x14ac:dyDescent="0.25">
      <c r="A32" s="18"/>
      <c r="B32" s="28" t="s">
        <v>32</v>
      </c>
      <c r="C32" s="29" t="s">
        <v>32</v>
      </c>
      <c r="D32" s="29" t="s">
        <v>32</v>
      </c>
      <c r="E32" s="29" t="s">
        <v>32</v>
      </c>
      <c r="F32" s="30" t="s">
        <v>32</v>
      </c>
      <c r="G32" s="37" t="s">
        <v>32</v>
      </c>
      <c r="H32" s="31" t="s">
        <v>32</v>
      </c>
      <c r="I32" s="40" t="s">
        <v>32</v>
      </c>
      <c r="J32" s="40" t="s">
        <v>32</v>
      </c>
      <c r="K32" s="40" t="s">
        <v>32</v>
      </c>
      <c r="L32" s="69">
        <f t="shared" si="1"/>
        <v>0</v>
      </c>
      <c r="M32" s="31"/>
      <c r="N32" s="40"/>
      <c r="O32" s="40"/>
      <c r="P32" s="40"/>
      <c r="Q32" s="71">
        <f t="shared" si="2"/>
        <v>0</v>
      </c>
      <c r="R32" s="75">
        <f t="shared" si="3"/>
        <v>0</v>
      </c>
      <c r="S32" s="53"/>
      <c r="T32" s="53"/>
      <c r="U32" s="54"/>
      <c r="V32" s="47"/>
      <c r="W32" s="67" t="str">
        <f t="shared" si="0"/>
        <v/>
      </c>
      <c r="Y32" s="65">
        <f t="shared" si="4"/>
        <v>0</v>
      </c>
      <c r="AJ32"/>
      <c r="AK32" s="65"/>
      <c r="AL32" s="27"/>
      <c r="AM32" s="27"/>
    </row>
    <row r="33" spans="1:39" ht="15.75" x14ac:dyDescent="0.25">
      <c r="A33" s="18"/>
      <c r="B33" s="28" t="s">
        <v>32</v>
      </c>
      <c r="C33" s="29" t="s">
        <v>32</v>
      </c>
      <c r="D33" s="29" t="s">
        <v>32</v>
      </c>
      <c r="E33" s="29" t="s">
        <v>32</v>
      </c>
      <c r="F33" s="30" t="s">
        <v>32</v>
      </c>
      <c r="G33" s="37" t="s">
        <v>32</v>
      </c>
      <c r="H33" s="31" t="s">
        <v>32</v>
      </c>
      <c r="I33" s="40" t="s">
        <v>32</v>
      </c>
      <c r="J33" s="40" t="s">
        <v>32</v>
      </c>
      <c r="K33" s="40" t="s">
        <v>32</v>
      </c>
      <c r="L33" s="69">
        <f t="shared" si="1"/>
        <v>0</v>
      </c>
      <c r="M33" s="31"/>
      <c r="N33" s="40"/>
      <c r="O33" s="40"/>
      <c r="P33" s="40"/>
      <c r="Q33" s="71">
        <f t="shared" si="2"/>
        <v>0</v>
      </c>
      <c r="R33" s="75">
        <f t="shared" si="3"/>
        <v>0</v>
      </c>
      <c r="S33" s="53"/>
      <c r="T33" s="53"/>
      <c r="U33" s="54"/>
      <c r="V33" s="47"/>
      <c r="W33" s="67" t="str">
        <f t="shared" si="0"/>
        <v/>
      </c>
      <c r="Y33" s="65">
        <f t="shared" si="4"/>
        <v>0</v>
      </c>
      <c r="AJ33"/>
      <c r="AK33" s="65"/>
      <c r="AL33" s="27"/>
      <c r="AM33" s="27"/>
    </row>
    <row r="34" spans="1:39" ht="15.75" x14ac:dyDescent="0.25">
      <c r="A34" s="18"/>
      <c r="B34" s="28" t="s">
        <v>32</v>
      </c>
      <c r="C34" s="29" t="s">
        <v>32</v>
      </c>
      <c r="D34" s="29" t="s">
        <v>32</v>
      </c>
      <c r="E34" s="29" t="s">
        <v>32</v>
      </c>
      <c r="F34" s="30" t="s">
        <v>32</v>
      </c>
      <c r="G34" s="37" t="s">
        <v>32</v>
      </c>
      <c r="H34" s="31" t="s">
        <v>32</v>
      </c>
      <c r="I34" s="40" t="s">
        <v>32</v>
      </c>
      <c r="J34" s="40" t="s">
        <v>32</v>
      </c>
      <c r="K34" s="40" t="s">
        <v>32</v>
      </c>
      <c r="L34" s="69">
        <f t="shared" si="1"/>
        <v>0</v>
      </c>
      <c r="M34" s="31"/>
      <c r="N34" s="40"/>
      <c r="O34" s="40"/>
      <c r="P34" s="40"/>
      <c r="Q34" s="71">
        <f t="shared" si="2"/>
        <v>0</v>
      </c>
      <c r="R34" s="75">
        <f t="shared" si="3"/>
        <v>0</v>
      </c>
      <c r="S34" s="53"/>
      <c r="T34" s="53"/>
      <c r="U34" s="54"/>
      <c r="V34" s="47"/>
      <c r="W34" s="67" t="str">
        <f t="shared" si="0"/>
        <v/>
      </c>
      <c r="Y34" s="65">
        <f t="shared" si="4"/>
        <v>0</v>
      </c>
      <c r="AJ34"/>
      <c r="AK34" s="65"/>
      <c r="AL34" s="27"/>
      <c r="AM34" s="27"/>
    </row>
    <row r="35" spans="1:39" ht="15.75" x14ac:dyDescent="0.25">
      <c r="A35" s="18"/>
      <c r="B35" s="28" t="s">
        <v>32</v>
      </c>
      <c r="C35" s="29" t="s">
        <v>32</v>
      </c>
      <c r="D35" s="29" t="s">
        <v>32</v>
      </c>
      <c r="E35" s="29" t="s">
        <v>32</v>
      </c>
      <c r="F35" s="30" t="s">
        <v>32</v>
      </c>
      <c r="G35" s="37" t="s">
        <v>32</v>
      </c>
      <c r="H35" s="31" t="s">
        <v>32</v>
      </c>
      <c r="I35" s="40" t="s">
        <v>32</v>
      </c>
      <c r="J35" s="40" t="s">
        <v>32</v>
      </c>
      <c r="K35" s="40" t="s">
        <v>32</v>
      </c>
      <c r="L35" s="69">
        <f t="shared" si="1"/>
        <v>0</v>
      </c>
      <c r="M35" s="31"/>
      <c r="N35" s="40"/>
      <c r="O35" s="40"/>
      <c r="P35" s="40"/>
      <c r="Q35" s="71">
        <f t="shared" si="2"/>
        <v>0</v>
      </c>
      <c r="R35" s="75">
        <f t="shared" si="3"/>
        <v>0</v>
      </c>
      <c r="S35" s="53"/>
      <c r="T35" s="53"/>
      <c r="U35" s="54"/>
      <c r="V35" s="47"/>
      <c r="W35" s="67" t="str">
        <f t="shared" si="0"/>
        <v/>
      </c>
      <c r="Y35" s="65">
        <f t="shared" si="4"/>
        <v>0</v>
      </c>
      <c r="AJ35"/>
      <c r="AK35" s="65"/>
      <c r="AL35" s="27"/>
      <c r="AM35" s="27"/>
    </row>
    <row r="36" spans="1:39" ht="15.75" x14ac:dyDescent="0.25">
      <c r="A36" s="18"/>
      <c r="B36" s="28" t="s">
        <v>32</v>
      </c>
      <c r="C36" s="29" t="s">
        <v>32</v>
      </c>
      <c r="D36" s="29" t="s">
        <v>32</v>
      </c>
      <c r="E36" s="29" t="s">
        <v>32</v>
      </c>
      <c r="F36" s="30" t="s">
        <v>32</v>
      </c>
      <c r="G36" s="37" t="s">
        <v>32</v>
      </c>
      <c r="H36" s="31" t="s">
        <v>32</v>
      </c>
      <c r="I36" s="40" t="s">
        <v>32</v>
      </c>
      <c r="J36" s="40" t="s">
        <v>32</v>
      </c>
      <c r="K36" s="40" t="s">
        <v>32</v>
      </c>
      <c r="L36" s="69">
        <f t="shared" si="1"/>
        <v>0</v>
      </c>
      <c r="M36" s="31"/>
      <c r="N36" s="40"/>
      <c r="O36" s="40"/>
      <c r="P36" s="40"/>
      <c r="Q36" s="71">
        <f t="shared" si="2"/>
        <v>0</v>
      </c>
      <c r="R36" s="75">
        <f t="shared" si="3"/>
        <v>0</v>
      </c>
      <c r="S36" s="53"/>
      <c r="T36" s="53"/>
      <c r="U36" s="54"/>
      <c r="V36" s="47"/>
      <c r="W36" s="67" t="str">
        <f t="shared" si="0"/>
        <v/>
      </c>
      <c r="Y36" s="65">
        <f t="shared" si="4"/>
        <v>0</v>
      </c>
      <c r="AJ36"/>
      <c r="AK36" s="65"/>
      <c r="AL36" s="27"/>
      <c r="AM36" s="27"/>
    </row>
    <row r="37" spans="1:39" ht="15.75" x14ac:dyDescent="0.25">
      <c r="A37" s="18"/>
      <c r="B37" s="28" t="s">
        <v>32</v>
      </c>
      <c r="C37" s="29" t="s">
        <v>32</v>
      </c>
      <c r="D37" s="29" t="s">
        <v>32</v>
      </c>
      <c r="E37" s="29" t="s">
        <v>32</v>
      </c>
      <c r="F37" s="30" t="s">
        <v>32</v>
      </c>
      <c r="G37" s="37" t="s">
        <v>32</v>
      </c>
      <c r="H37" s="31" t="s">
        <v>32</v>
      </c>
      <c r="I37" s="40" t="s">
        <v>32</v>
      </c>
      <c r="J37" s="40" t="s">
        <v>32</v>
      </c>
      <c r="K37" s="40" t="s">
        <v>32</v>
      </c>
      <c r="L37" s="69">
        <f t="shared" si="1"/>
        <v>0</v>
      </c>
      <c r="M37" s="31"/>
      <c r="N37" s="40"/>
      <c r="O37" s="40"/>
      <c r="P37" s="40"/>
      <c r="Q37" s="71">
        <f t="shared" si="2"/>
        <v>0</v>
      </c>
      <c r="R37" s="75">
        <f t="shared" si="3"/>
        <v>0</v>
      </c>
      <c r="S37" s="53"/>
      <c r="T37" s="53"/>
      <c r="U37" s="54"/>
      <c r="V37" s="47"/>
      <c r="W37" s="67" t="str">
        <f t="shared" si="0"/>
        <v/>
      </c>
      <c r="Y37" s="65">
        <f t="shared" si="4"/>
        <v>0</v>
      </c>
      <c r="AJ37"/>
      <c r="AK37" s="65"/>
      <c r="AL37" s="27"/>
      <c r="AM37" s="27"/>
    </row>
    <row r="38" spans="1:39" ht="15.75" x14ac:dyDescent="0.25">
      <c r="A38" s="18"/>
      <c r="B38" s="35" t="s">
        <v>32</v>
      </c>
      <c r="C38" s="36" t="s">
        <v>32</v>
      </c>
      <c r="D38" s="36" t="s">
        <v>32</v>
      </c>
      <c r="E38" s="36" t="s">
        <v>32</v>
      </c>
      <c r="F38" s="38" t="s">
        <v>32</v>
      </c>
      <c r="G38" s="37" t="s">
        <v>32</v>
      </c>
      <c r="H38" s="37" t="s">
        <v>32</v>
      </c>
      <c r="I38" s="39" t="s">
        <v>32</v>
      </c>
      <c r="J38" s="39" t="s">
        <v>32</v>
      </c>
      <c r="K38" s="39" t="s">
        <v>32</v>
      </c>
      <c r="L38" s="68">
        <f>SUM(I38:K38)</f>
        <v>0</v>
      </c>
      <c r="M38" s="37"/>
      <c r="N38" s="39"/>
      <c r="O38" s="39"/>
      <c r="P38" s="39"/>
      <c r="Q38" s="71">
        <f t="shared" si="2"/>
        <v>0</v>
      </c>
      <c r="R38" s="75">
        <f t="shared" si="3"/>
        <v>0</v>
      </c>
      <c r="S38" s="53"/>
      <c r="T38" s="53"/>
      <c r="U38" s="54"/>
      <c r="V38" s="47"/>
      <c r="W38" s="67" t="str">
        <f t="shared" si="0"/>
        <v/>
      </c>
      <c r="Y38" s="65">
        <f t="shared" si="4"/>
        <v>0</v>
      </c>
      <c r="AJ38"/>
      <c r="AK38" s="65"/>
      <c r="AL38" s="27"/>
      <c r="AM38" s="27"/>
    </row>
    <row r="39" spans="1:39" ht="15.75" x14ac:dyDescent="0.25">
      <c r="A39" s="18"/>
      <c r="B39" s="35" t="s">
        <v>32</v>
      </c>
      <c r="C39" s="36" t="s">
        <v>32</v>
      </c>
      <c r="D39" s="36" t="s">
        <v>32</v>
      </c>
      <c r="E39" s="36" t="s">
        <v>32</v>
      </c>
      <c r="F39" s="38" t="s">
        <v>32</v>
      </c>
      <c r="G39" s="37" t="s">
        <v>32</v>
      </c>
      <c r="H39" s="37" t="s">
        <v>32</v>
      </c>
      <c r="I39" s="39" t="s">
        <v>32</v>
      </c>
      <c r="J39" s="39" t="s">
        <v>32</v>
      </c>
      <c r="K39" s="39" t="s">
        <v>32</v>
      </c>
      <c r="L39" s="68">
        <f>SUM(I39:K39)</f>
        <v>0</v>
      </c>
      <c r="M39" s="37"/>
      <c r="N39" s="39"/>
      <c r="O39" s="39"/>
      <c r="P39" s="39"/>
      <c r="Q39" s="71">
        <f t="shared" si="2"/>
        <v>0</v>
      </c>
      <c r="R39" s="75">
        <f t="shared" si="3"/>
        <v>0</v>
      </c>
      <c r="S39" s="53"/>
      <c r="T39" s="53"/>
      <c r="U39" s="54"/>
      <c r="V39" s="47"/>
      <c r="W39" s="67" t="str">
        <f t="shared" si="0"/>
        <v/>
      </c>
      <c r="Y39" s="65">
        <f t="shared" si="4"/>
        <v>0</v>
      </c>
      <c r="AJ39"/>
      <c r="AK39" s="65"/>
      <c r="AL39" s="27"/>
      <c r="AM39" s="27"/>
    </row>
    <row r="40" spans="1:39" ht="15.75" x14ac:dyDescent="0.25">
      <c r="A40" s="18"/>
      <c r="B40" s="35" t="s">
        <v>32</v>
      </c>
      <c r="C40" s="36" t="s">
        <v>32</v>
      </c>
      <c r="D40" s="36" t="s">
        <v>32</v>
      </c>
      <c r="E40" s="36" t="s">
        <v>32</v>
      </c>
      <c r="F40" s="38" t="s">
        <v>32</v>
      </c>
      <c r="G40" s="37" t="s">
        <v>32</v>
      </c>
      <c r="H40" s="37" t="s">
        <v>32</v>
      </c>
      <c r="I40" s="39" t="s">
        <v>32</v>
      </c>
      <c r="J40" s="39" t="s">
        <v>32</v>
      </c>
      <c r="K40" s="39" t="s">
        <v>32</v>
      </c>
      <c r="L40" s="68">
        <f>SUM(I40:K40)</f>
        <v>0</v>
      </c>
      <c r="M40" s="37"/>
      <c r="N40" s="39"/>
      <c r="O40" s="39"/>
      <c r="P40" s="39"/>
      <c r="Q40" s="71">
        <f t="shared" si="2"/>
        <v>0</v>
      </c>
      <c r="R40" s="75">
        <f t="shared" si="3"/>
        <v>0</v>
      </c>
      <c r="S40" s="53"/>
      <c r="T40" s="53"/>
      <c r="U40" s="54"/>
      <c r="V40" s="47"/>
      <c r="W40" s="67" t="str">
        <f t="shared" si="0"/>
        <v/>
      </c>
      <c r="Y40" s="65">
        <f t="shared" si="4"/>
        <v>0</v>
      </c>
      <c r="AJ40"/>
      <c r="AK40" s="65"/>
      <c r="AL40" s="27"/>
      <c r="AM40" s="27"/>
    </row>
    <row r="41" spans="1:39" ht="16.5" thickBot="1" x14ac:dyDescent="0.3">
      <c r="A41" s="18"/>
      <c r="B41" s="56" t="s">
        <v>32</v>
      </c>
      <c r="C41" s="57" t="s">
        <v>32</v>
      </c>
      <c r="D41" s="57" t="s">
        <v>32</v>
      </c>
      <c r="E41" s="57" t="s">
        <v>32</v>
      </c>
      <c r="F41" s="58" t="s">
        <v>32</v>
      </c>
      <c r="G41" s="37" t="s">
        <v>32</v>
      </c>
      <c r="H41" s="59" t="s">
        <v>32</v>
      </c>
      <c r="I41" s="60" t="s">
        <v>32</v>
      </c>
      <c r="J41" s="60" t="s">
        <v>32</v>
      </c>
      <c r="K41" s="60" t="s">
        <v>32</v>
      </c>
      <c r="L41" s="70">
        <f>SUM(I41:K41)</f>
        <v>0</v>
      </c>
      <c r="M41" s="59"/>
      <c r="N41" s="60"/>
      <c r="O41" s="60"/>
      <c r="P41" s="60"/>
      <c r="Q41" s="72">
        <f t="shared" si="2"/>
        <v>0</v>
      </c>
      <c r="R41" s="75">
        <f t="shared" si="3"/>
        <v>0</v>
      </c>
      <c r="S41" s="61"/>
      <c r="T41" s="61"/>
      <c r="U41" s="62"/>
      <c r="V41" s="47"/>
      <c r="W41" s="67" t="str">
        <f>IF(B41&lt;&gt;"",INDEX(AA:AA,MATCH(B41,AB:AB,0),1),"")</f>
        <v/>
      </c>
      <c r="Y41" s="65">
        <f t="shared" si="4"/>
        <v>0</v>
      </c>
      <c r="AJ41"/>
      <c r="AK41" s="65"/>
      <c r="AL41" s="27"/>
      <c r="AM41" s="27"/>
    </row>
    <row r="42" spans="1:39" ht="16.5" thickBot="1" x14ac:dyDescent="0.3">
      <c r="A42" s="18"/>
      <c r="B42" s="81" t="s">
        <v>44</v>
      </c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3"/>
      <c r="V42" s="47"/>
      <c r="W42" s="64"/>
      <c r="AJ42"/>
      <c r="AK42" s="65"/>
      <c r="AL42" s="27"/>
      <c r="AM42" s="27"/>
    </row>
    <row r="43" spans="1:39" ht="16.5" thickBot="1" x14ac:dyDescent="0.3">
      <c r="A43" s="20"/>
      <c r="B43" s="84" t="s">
        <v>43</v>
      </c>
      <c r="C43" s="85"/>
      <c r="D43" s="85"/>
      <c r="E43" s="85"/>
      <c r="F43" s="85"/>
      <c r="G43" s="86"/>
      <c r="H43" s="63"/>
      <c r="I43" s="55">
        <f t="shared" ref="I43:K43" si="5">SUM(I18:I42)</f>
        <v>0</v>
      </c>
      <c r="J43" s="55">
        <f t="shared" si="5"/>
        <v>0</v>
      </c>
      <c r="K43" s="55">
        <f t="shared" si="5"/>
        <v>0</v>
      </c>
      <c r="L43" s="55">
        <f>SUM(L18:L42)</f>
        <v>0</v>
      </c>
      <c r="M43" s="63"/>
      <c r="N43" s="55">
        <f t="shared" ref="N43:U43" si="6">SUM(N18:N42)</f>
        <v>0</v>
      </c>
      <c r="O43" s="55">
        <f t="shared" si="6"/>
        <v>0</v>
      </c>
      <c r="P43" s="55">
        <f t="shared" si="6"/>
        <v>0</v>
      </c>
      <c r="Q43" s="55">
        <f t="shared" si="6"/>
        <v>0</v>
      </c>
      <c r="R43" s="73">
        <f t="shared" si="6"/>
        <v>0</v>
      </c>
      <c r="S43" s="73">
        <f t="shared" si="6"/>
        <v>0</v>
      </c>
      <c r="T43" s="73">
        <f t="shared" si="6"/>
        <v>0</v>
      </c>
      <c r="U43" s="73">
        <f t="shared" si="6"/>
        <v>0</v>
      </c>
      <c r="V43" s="47"/>
      <c r="AJ43"/>
      <c r="AK43" s="65"/>
      <c r="AL43" s="27"/>
      <c r="AM43" s="27"/>
    </row>
    <row r="44" spans="1:39" ht="15.75" x14ac:dyDescent="0.25">
      <c r="A44" s="20"/>
      <c r="B44" s="2"/>
      <c r="C44" s="2"/>
      <c r="D44" s="2"/>
      <c r="E44" s="2"/>
      <c r="F44" s="2"/>
      <c r="G44" s="3"/>
      <c r="H44" s="2"/>
      <c r="I44" s="2"/>
      <c r="J44" s="2"/>
      <c r="K44" s="2"/>
      <c r="L44" s="2"/>
      <c r="M44" s="2"/>
      <c r="N44" s="2"/>
      <c r="O44" s="2"/>
      <c r="P44" s="2"/>
      <c r="Q44" s="2"/>
      <c r="R44" s="5"/>
      <c r="S44" s="2"/>
      <c r="T44" s="2"/>
      <c r="U44" s="2"/>
      <c r="V44" s="47"/>
      <c r="AJ44"/>
      <c r="AK44" s="65"/>
      <c r="AL44" s="27"/>
      <c r="AM44" s="27"/>
    </row>
    <row r="45" spans="1:39" ht="15.75" thickBot="1" x14ac:dyDescent="0.3">
      <c r="A45" s="21"/>
      <c r="B45" s="22"/>
      <c r="C45" s="22"/>
      <c r="D45" s="22"/>
      <c r="E45" s="22"/>
      <c r="F45" s="22"/>
      <c r="G45" s="22"/>
      <c r="H45" s="23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4"/>
      <c r="AJ45"/>
      <c r="AK45" s="65"/>
      <c r="AL45" s="27"/>
      <c r="AM45" s="27"/>
    </row>
    <row r="46" spans="1:39" x14ac:dyDescent="0.25">
      <c r="AJ46"/>
      <c r="AK46" s="65"/>
      <c r="AL46" s="27"/>
      <c r="AM46" s="27"/>
    </row>
  </sheetData>
  <sheetProtection password="A431" sheet="1" objects="1" scenarios="1"/>
  <mergeCells count="21">
    <mergeCell ref="B42:U42"/>
    <mergeCell ref="G3:M3"/>
    <mergeCell ref="B43:G43"/>
    <mergeCell ref="H15:L15"/>
    <mergeCell ref="B10:E10"/>
    <mergeCell ref="F15:F16"/>
    <mergeCell ref="E15:E16"/>
    <mergeCell ref="B11:E11"/>
    <mergeCell ref="B15:B16"/>
    <mergeCell ref="C15:D15"/>
    <mergeCell ref="G15:G16"/>
    <mergeCell ref="R15:U15"/>
    <mergeCell ref="M15:Q15"/>
    <mergeCell ref="C1:R1"/>
    <mergeCell ref="B8:E8"/>
    <mergeCell ref="F8:M8"/>
    <mergeCell ref="B9:E9"/>
    <mergeCell ref="F9:M9"/>
    <mergeCell ref="E3:F3"/>
    <mergeCell ref="E5:F5"/>
    <mergeCell ref="G5:M5"/>
  </mergeCells>
  <phoneticPr fontId="2" type="noConversion"/>
  <dataValidations disablePrompts="1" count="2">
    <dataValidation type="list" allowBlank="1" showInputMessage="1" showErrorMessage="1" sqref="B18:B41">
      <formula1>INDIRECT("$AB$1:$AB$" &amp; $AC$1)</formula1>
    </dataValidation>
    <dataValidation type="list" allowBlank="1" showInputMessage="1" showErrorMessage="1" sqref="G18:G41">
      <formula1>$AU$2:$AU$3</formula1>
    </dataValidation>
  </dataValidations>
  <pageMargins left="0.7" right="0.7" top="0.75" bottom="0.75" header="0.3" footer="0.3"/>
  <pageSetup paperSize="9" scale="37" orientation="landscape" r:id="rId1"/>
  <rowBreaks count="1" manualBreakCount="1">
    <brk id="17" max="22" man="1"/>
  </rowBreaks>
  <colBreaks count="1" manualBreakCount="1">
    <brk id="11" max="44" man="1"/>
  </colBreaks>
  <ignoredErrors>
    <ignoredError sqref="L18" formulaRange="1"/>
  </ignoredErrors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 moveWithCells="1">
              <from>
                <xdr:col>1</xdr:col>
                <xdr:colOff>809625</xdr:colOff>
                <xdr:row>0</xdr:row>
                <xdr:rowOff>123825</xdr:rowOff>
              </from>
              <to>
                <xdr:col>2</xdr:col>
                <xdr:colOff>171450</xdr:colOff>
                <xdr:row>6</xdr:row>
                <xdr:rowOff>76200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8" r:id="rId6" name="ValidaH">
          <controlPr defaultSize="0" print="0" autoLine="0" r:id="rId7">
            <anchor moveWithCells="1">
              <from>
                <xdr:col>14</xdr:col>
                <xdr:colOff>514350</xdr:colOff>
                <xdr:row>8</xdr:row>
                <xdr:rowOff>85725</xdr:rowOff>
              </from>
              <to>
                <xdr:col>16</xdr:col>
                <xdr:colOff>104775</xdr:colOff>
                <xdr:row>10</xdr:row>
                <xdr:rowOff>133350</xdr:rowOff>
              </to>
            </anchor>
          </controlPr>
        </control>
      </mc:Choice>
      <mc:Fallback>
        <control shapeId="1028" r:id="rId6" name="Valida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17"/>
  <sheetViews>
    <sheetView showGridLines="0" workbookViewId="0">
      <selection activeCell="E18" sqref="E18"/>
    </sheetView>
  </sheetViews>
  <sheetFormatPr baseColWidth="10" defaultRowHeight="12.75" x14ac:dyDescent="0.2"/>
  <cols>
    <col min="1" max="16384" width="11.42578125" style="44"/>
  </cols>
  <sheetData>
    <row r="2" spans="2:10" ht="34.5" x14ac:dyDescent="0.45">
      <c r="D2" s="109" t="s">
        <v>42</v>
      </c>
      <c r="E2" s="109"/>
      <c r="F2" s="109"/>
      <c r="G2" s="109"/>
      <c r="H2" s="109"/>
      <c r="I2" s="109"/>
    </row>
    <row r="3" spans="2:10" x14ac:dyDescent="0.2">
      <c r="D3" s="111"/>
      <c r="E3" s="111"/>
      <c r="F3" s="111"/>
      <c r="G3" s="111"/>
      <c r="H3" s="111"/>
      <c r="I3" s="111"/>
    </row>
    <row r="5" spans="2:10" ht="27" x14ac:dyDescent="0.35">
      <c r="C5" s="110" t="s">
        <v>49</v>
      </c>
      <c r="D5" s="110"/>
      <c r="E5" s="110"/>
      <c r="F5" s="110"/>
      <c r="G5" s="110"/>
      <c r="H5" s="110"/>
      <c r="I5" s="110"/>
      <c r="J5" s="110"/>
    </row>
    <row r="6" spans="2:10" ht="12" customHeight="1" x14ac:dyDescent="0.2"/>
    <row r="7" spans="2:10" ht="27" customHeight="1" x14ac:dyDescent="0.35">
      <c r="C7" s="110" t="s">
        <v>79</v>
      </c>
      <c r="D7" s="110"/>
      <c r="E7" s="110"/>
      <c r="F7" s="110"/>
      <c r="G7" s="110"/>
      <c r="H7" s="110"/>
      <c r="I7" s="110"/>
      <c r="J7" s="110"/>
    </row>
    <row r="8" spans="2:10" ht="27.75" customHeight="1" thickBot="1" x14ac:dyDescent="0.25"/>
    <row r="9" spans="2:10" ht="33" customHeight="1" x14ac:dyDescent="0.2">
      <c r="B9" s="100" t="s">
        <v>50</v>
      </c>
      <c r="C9" s="101"/>
      <c r="D9" s="101"/>
      <c r="E9" s="101"/>
      <c r="F9" s="101"/>
      <c r="G9" s="101"/>
      <c r="H9" s="101"/>
      <c r="I9" s="102"/>
    </row>
    <row r="10" spans="2:10" x14ac:dyDescent="0.2">
      <c r="B10" s="103"/>
      <c r="C10" s="104"/>
      <c r="D10" s="104"/>
      <c r="E10" s="104"/>
      <c r="F10" s="104"/>
      <c r="G10" s="104"/>
      <c r="H10" s="104"/>
      <c r="I10" s="105"/>
    </row>
    <row r="11" spans="2:10" x14ac:dyDescent="0.2">
      <c r="B11" s="103"/>
      <c r="C11" s="104"/>
      <c r="D11" s="104"/>
      <c r="E11" s="104"/>
      <c r="F11" s="104"/>
      <c r="G11" s="104"/>
      <c r="H11" s="104"/>
      <c r="I11" s="105"/>
    </row>
    <row r="12" spans="2:10" x14ac:dyDescent="0.2">
      <c r="B12" s="103"/>
      <c r="C12" s="104"/>
      <c r="D12" s="104"/>
      <c r="E12" s="104"/>
      <c r="F12" s="104"/>
      <c r="G12" s="104"/>
      <c r="H12" s="104"/>
      <c r="I12" s="105"/>
    </row>
    <row r="13" spans="2:10" ht="13.5" thickBot="1" x14ac:dyDescent="0.25">
      <c r="B13" s="106"/>
      <c r="C13" s="107"/>
      <c r="D13" s="107"/>
      <c r="E13" s="107"/>
      <c r="F13" s="107"/>
      <c r="G13" s="107"/>
      <c r="H13" s="107"/>
      <c r="I13" s="108"/>
    </row>
    <row r="17" spans="5:5" x14ac:dyDescent="0.2">
      <c r="E17" s="45" t="s">
        <v>85</v>
      </c>
    </row>
  </sheetData>
  <mergeCells count="5">
    <mergeCell ref="B9:I13"/>
    <mergeCell ref="D2:I2"/>
    <mergeCell ref="C5:J5"/>
    <mergeCell ref="C7:J7"/>
    <mergeCell ref="D3:I3"/>
  </mergeCells>
  <phoneticPr fontId="11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2049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PG"/>
  <dimension ref="A1:U3"/>
  <sheetViews>
    <sheetView topLeftCell="DA1" workbookViewId="0">
      <selection activeCell="DA1" sqref="DA1"/>
    </sheetView>
  </sheetViews>
  <sheetFormatPr baseColWidth="10" defaultRowHeight="15" x14ac:dyDescent="0.25"/>
  <cols>
    <col min="1" max="1" width="16.28515625" hidden="1" customWidth="1"/>
    <col min="2" max="104" width="0" hidden="1" customWidth="1"/>
  </cols>
  <sheetData>
    <row r="1" spans="1:21" x14ac:dyDescent="0.25">
      <c r="A1" t="s">
        <v>42</v>
      </c>
    </row>
    <row r="2" spans="1:21" x14ac:dyDescent="0.25">
      <c r="A2" t="s">
        <v>16</v>
      </c>
      <c r="B2" t="s">
        <v>5</v>
      </c>
      <c r="C2" t="s">
        <v>6</v>
      </c>
      <c r="D2" t="s">
        <v>1</v>
      </c>
      <c r="E2" t="s">
        <v>33</v>
      </c>
      <c r="F2" t="s">
        <v>11</v>
      </c>
      <c r="G2" t="s">
        <v>34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23</v>
      </c>
      <c r="P2" t="s">
        <v>47</v>
      </c>
      <c r="Q2" t="s">
        <v>48</v>
      </c>
      <c r="R2" t="s">
        <v>52</v>
      </c>
      <c r="S2" t="s">
        <v>53</v>
      </c>
      <c r="T2" t="s">
        <v>54</v>
      </c>
      <c r="U2" t="s">
        <v>55</v>
      </c>
    </row>
    <row r="3" spans="1:21" x14ac:dyDescent="0.25">
      <c r="A3" t="s">
        <v>56</v>
      </c>
    </row>
  </sheetData>
  <phoneticPr fontId="2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V19"/>
  <sheetViews>
    <sheetView workbookViewId="0">
      <selection activeCell="C5" sqref="C5"/>
    </sheetView>
  </sheetViews>
  <sheetFormatPr baseColWidth="10" defaultRowHeight="15" x14ac:dyDescent="0.25"/>
  <cols>
    <col min="2" max="2" width="12.140625" bestFit="1" customWidth="1"/>
    <col min="6" max="6" width="11.85546875" bestFit="1" customWidth="1"/>
  </cols>
  <sheetData>
    <row r="1" spans="1:256" x14ac:dyDescent="0.25">
      <c r="A1" t="s">
        <v>26</v>
      </c>
      <c r="B1" t="s">
        <v>27</v>
      </c>
      <c r="C1" t="s">
        <v>17</v>
      </c>
      <c r="E1">
        <f>COUNTA(A:A)-1</f>
        <v>18</v>
      </c>
    </row>
    <row r="2" spans="1:256" x14ac:dyDescent="0.25">
      <c r="A2" t="s">
        <v>31</v>
      </c>
      <c r="B2" t="s">
        <v>57</v>
      </c>
      <c r="C2" t="s">
        <v>30</v>
      </c>
      <c r="IV2">
        <v>0</v>
      </c>
    </row>
    <row r="3" spans="1:256" x14ac:dyDescent="0.25">
      <c r="A3" t="s">
        <v>31</v>
      </c>
      <c r="B3" t="s">
        <v>27</v>
      </c>
      <c r="C3" t="s">
        <v>58</v>
      </c>
      <c r="L3" s="26"/>
      <c r="IV3">
        <v>0</v>
      </c>
    </row>
    <row r="4" spans="1:256" x14ac:dyDescent="0.25">
      <c r="A4" t="s">
        <v>31</v>
      </c>
      <c r="B4" t="s">
        <v>59</v>
      </c>
      <c r="C4" t="s">
        <v>60</v>
      </c>
    </row>
    <row r="5" spans="1:256" x14ac:dyDescent="0.25">
      <c r="A5" t="s">
        <v>31</v>
      </c>
      <c r="B5" t="s">
        <v>61</v>
      </c>
    </row>
    <row r="6" spans="1:256" x14ac:dyDescent="0.25">
      <c r="A6" t="s">
        <v>31</v>
      </c>
      <c r="B6" t="s">
        <v>62</v>
      </c>
      <c r="C6" t="s">
        <v>28</v>
      </c>
    </row>
    <row r="7" spans="1:256" x14ac:dyDescent="0.25">
      <c r="A7" t="s">
        <v>31</v>
      </c>
      <c r="B7" t="s">
        <v>63</v>
      </c>
      <c r="C7" t="s">
        <v>64</v>
      </c>
      <c r="M7" t="s">
        <v>29</v>
      </c>
    </row>
    <row r="8" spans="1:256" x14ac:dyDescent="0.25">
      <c r="A8" t="s">
        <v>31</v>
      </c>
      <c r="B8" t="s">
        <v>26</v>
      </c>
      <c r="C8" t="s">
        <v>65</v>
      </c>
    </row>
    <row r="9" spans="1:256" x14ac:dyDescent="0.25">
      <c r="A9" t="s">
        <v>31</v>
      </c>
      <c r="B9" t="s">
        <v>66</v>
      </c>
      <c r="C9" t="s">
        <v>67</v>
      </c>
      <c r="G9" s="25"/>
    </row>
    <row r="10" spans="1:256" x14ac:dyDescent="0.25">
      <c r="A10" t="s">
        <v>31</v>
      </c>
      <c r="B10" t="s">
        <v>68</v>
      </c>
      <c r="C10" t="s">
        <v>67</v>
      </c>
      <c r="G10" s="25"/>
    </row>
    <row r="11" spans="1:256" x14ac:dyDescent="0.25">
      <c r="A11" t="s">
        <v>31</v>
      </c>
      <c r="B11" t="s">
        <v>69</v>
      </c>
      <c r="C11" t="s">
        <v>67</v>
      </c>
      <c r="G11" s="25"/>
    </row>
    <row r="12" spans="1:256" x14ac:dyDescent="0.25">
      <c r="A12" t="s">
        <v>31</v>
      </c>
      <c r="B12" t="s">
        <v>70</v>
      </c>
      <c r="C12" t="s">
        <v>65</v>
      </c>
    </row>
    <row r="13" spans="1:256" x14ac:dyDescent="0.25">
      <c r="A13" t="s">
        <v>31</v>
      </c>
      <c r="B13" t="s">
        <v>71</v>
      </c>
      <c r="C13" t="s">
        <v>67</v>
      </c>
      <c r="E13" s="25"/>
    </row>
    <row r="14" spans="1:256" x14ac:dyDescent="0.25">
      <c r="A14" t="s">
        <v>31</v>
      </c>
      <c r="B14" t="s">
        <v>72</v>
      </c>
      <c r="C14" t="s">
        <v>67</v>
      </c>
      <c r="E14" s="25"/>
    </row>
    <row r="15" spans="1:256" x14ac:dyDescent="0.25">
      <c r="A15" t="s">
        <v>31</v>
      </c>
      <c r="B15" t="s">
        <v>73</v>
      </c>
      <c r="C15" t="s">
        <v>67</v>
      </c>
      <c r="E15" s="25"/>
    </row>
    <row r="16" spans="1:256" x14ac:dyDescent="0.25">
      <c r="A16" t="s">
        <v>31</v>
      </c>
      <c r="B16" t="s">
        <v>74</v>
      </c>
      <c r="C16" t="s">
        <v>75</v>
      </c>
      <c r="E16" s="25"/>
    </row>
    <row r="17" spans="1:7" x14ac:dyDescent="0.25">
      <c r="A17" t="s">
        <v>31</v>
      </c>
      <c r="B17" t="s">
        <v>76</v>
      </c>
      <c r="C17" t="s">
        <v>75</v>
      </c>
      <c r="G17" s="25"/>
    </row>
    <row r="18" spans="1:7" x14ac:dyDescent="0.25">
      <c r="A18" t="s">
        <v>31</v>
      </c>
      <c r="B18" t="s">
        <v>77</v>
      </c>
      <c r="C18" t="s">
        <v>75</v>
      </c>
    </row>
    <row r="19" spans="1:7" x14ac:dyDescent="0.25">
      <c r="A19" t="s">
        <v>31</v>
      </c>
      <c r="B19" t="s">
        <v>78</v>
      </c>
      <c r="C19" t="s">
        <v>75</v>
      </c>
    </row>
  </sheetData>
  <phoneticPr fontId="2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Prep</vt:lpstr>
      <vt:lpstr>COP pagadas</vt:lpstr>
      <vt:lpstr>SISCONET</vt:lpstr>
      <vt:lpstr>COPPag</vt:lpstr>
      <vt:lpstr>Val</vt:lpstr>
      <vt:lpstr>'COP pagadas'!Área_de_impresión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Rodolfo Gabriel González Hernández</dc:creator>
  <cp:lastModifiedBy>NOVUTECK1</cp:lastModifiedBy>
  <dcterms:created xsi:type="dcterms:W3CDTF">2011-12-07T23:19:31Z</dcterms:created>
  <dcterms:modified xsi:type="dcterms:W3CDTF">2014-08-04T21:08:37Z</dcterms:modified>
</cp:coreProperties>
</file>