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E6F" lockStructure="1"/>
  <bookViews>
    <workbookView xWindow="360" yWindow="315" windowWidth="19875" windowHeight="8475" firstSheet="1" activeTab="1"/>
  </bookViews>
  <sheets>
    <sheet name="Prep" sheetId="3" state="hidden" r:id="rId1"/>
    <sheet name="CEDULA_Q" sheetId="1" r:id="rId2"/>
    <sheet name="SISCONET" sheetId="5" state="hidden" r:id="rId3"/>
    <sheet name="RCedQ" sheetId="4" state="hidden" r:id="rId4"/>
    <sheet name="Val" sheetId="2" state="hidden" r:id="rId5"/>
  </sheets>
  <functionGroups builtInGroupCount="17"/>
  <definedNames>
    <definedName name="_xlnm.Print_Area" localSheetId="1">CEDULA_Q!$A$1:$T$53</definedName>
  </definedNames>
  <calcPr calcId="144525" iterate="1"/>
</workbook>
</file>

<file path=xl/calcChain.xml><?xml version="1.0" encoding="utf-8"?>
<calcChain xmlns="http://schemas.openxmlformats.org/spreadsheetml/2006/main">
  <c r="G47" i="1" l="1"/>
  <c r="H47" i="1"/>
  <c r="I47" i="1"/>
  <c r="J47" i="1"/>
  <c r="K47" i="1"/>
  <c r="L47" i="1"/>
  <c r="M47" i="1"/>
  <c r="N47" i="1"/>
  <c r="O47" i="1"/>
  <c r="P47" i="1"/>
  <c r="Q47" i="1"/>
  <c r="R47" i="1"/>
  <c r="S47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N1" i="1" l="1"/>
  <c r="M1" i="1" l="1"/>
  <c r="L1" i="1" s="1"/>
  <c r="J1" i="1"/>
  <c r="H1" i="1"/>
  <c r="P1" i="1"/>
  <c r="O1" i="1"/>
  <c r="E1" i="2"/>
  <c r="I1" i="1"/>
  <c r="K1" i="1" l="1"/>
</calcChain>
</file>

<file path=xl/sharedStrings.xml><?xml version="1.0" encoding="utf-8"?>
<sst xmlns="http://schemas.openxmlformats.org/spreadsheetml/2006/main" count="88" uniqueCount="71">
  <si>
    <t>EJERCICIO</t>
  </si>
  <si>
    <t>REGISTRO(S) PATRONAL(ES):</t>
  </si>
  <si>
    <t>Instituto Mexicano del Seguro Social</t>
  </si>
  <si>
    <t>Delegación:</t>
  </si>
  <si>
    <t>Subdelegación:</t>
  </si>
  <si>
    <t>FOLIO DE CORRECCIÓN:</t>
  </si>
  <si>
    <t>AL</t>
  </si>
  <si>
    <t xml:space="preserve">ANALISIS DE HONORARIOS </t>
  </si>
  <si>
    <t>NOMBRE</t>
  </si>
  <si>
    <t>ACTIVIDAD</t>
  </si>
  <si>
    <t>RFC</t>
  </si>
  <si>
    <t>IMPORTES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</si>
  <si>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</si>
  <si>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</si>
  <si>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</si>
  <si>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</si>
  <si>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</si>
  <si>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</si>
  <si>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</si>
  <si>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</si>
  <si>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</si>
  <si>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</si>
  <si>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</si>
  <si>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</si>
  <si>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</si>
  <si>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TOTALES</t>
  </si>
  <si>
    <t>Q</t>
  </si>
  <si>
    <t>H</t>
  </si>
  <si>
    <t>C</t>
  </si>
  <si>
    <t>V</t>
  </si>
  <si>
    <t>^([0-9]+|[0-9]*\.[0-9]+)$</t>
  </si>
  <si>
    <t>CEDULA_Q</t>
  </si>
  <si>
    <t>E17:P34</t>
  </si>
  <si>
    <t>B17:B34</t>
  </si>
  <si>
    <t>C17:C34</t>
  </si>
  <si>
    <t>D17:D34</t>
  </si>
  <si>
    <t>^([A-Za-z0-9 Ññ]+)$</t>
  </si>
  <si>
    <t>^([A-Za-z0-9ñÑ]{13})$</t>
  </si>
  <si>
    <t>N</t>
  </si>
  <si>
    <t>RP</t>
  </si>
  <si>
    <t>ApPaterno</t>
  </si>
  <si>
    <t>ApMaterno</t>
  </si>
  <si>
    <t>Nombre</t>
  </si>
  <si>
    <t>Delegación</t>
  </si>
  <si>
    <t xml:space="preserve">Subdelegación </t>
  </si>
  <si>
    <t>Nombre o razón</t>
  </si>
  <si>
    <t>Folio de Correccion</t>
  </si>
  <si>
    <t>Ejercicio</t>
  </si>
  <si>
    <t>Per Ini</t>
  </si>
  <si>
    <t>Per Fin</t>
  </si>
  <si>
    <t>CEDULA Q</t>
  </si>
  <si>
    <t>ID_TRABAJADOR</t>
  </si>
  <si>
    <t>MES</t>
  </si>
  <si>
    <t>CONCEPTO</t>
  </si>
  <si>
    <t>APELLIDO PATERNO</t>
  </si>
  <si>
    <t>APELLIDO MATERNO</t>
  </si>
  <si>
    <t>Concepto</t>
  </si>
  <si>
    <t>Para el buen funcionamiento de la plantilla es necesario habilitar macros</t>
  </si>
  <si>
    <t>Cédula Q</t>
  </si>
  <si>
    <t>Análisis de honorarios</t>
  </si>
  <si>
    <t>SISTEMA DE CORRECCIÓN EN LÍNEA</t>
  </si>
  <si>
    <t>Cedula Q</t>
  </si>
  <si>
    <t>[-]</t>
  </si>
  <si>
    <t>SISCONET</t>
  </si>
  <si>
    <t>NOMBRE O RAZÓN SOCIAL:</t>
  </si>
  <si>
    <t>PERÍODO QUE REGULARIZA:</t>
  </si>
  <si>
    <t>PERÍODO DEL:</t>
  </si>
  <si>
    <r>
      <t>Nota</t>
    </r>
    <r>
      <rPr>
        <sz val="12"/>
        <rFont val="Arial"/>
        <family val="2"/>
      </rPr>
      <t xml:space="preserve"> esta cedula podrá adecuarse para: otros rubros, subcontratistas, maquilas, etc. Y deberá relacionarse el 100% del personal que se deduce.</t>
    </r>
  </si>
  <si>
    <r>
      <t>Anexar</t>
    </r>
    <r>
      <rPr>
        <sz val="12"/>
        <rFont val="Arial"/>
        <family val="2"/>
      </rPr>
      <t xml:space="preserve"> al "Acuse de recibo de la presentación de la corrección" copia de recibos de honorarios (continuos), o en su caso, copia de subcontratos, facturas de fases subcontratadas, de tres meses continuos (por ejercicio o periodo adicional)</t>
    </r>
  </si>
  <si>
    <t>V 2.31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</si>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</sst>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_);[Red]\(&quot;$&quot;#,##0.00\)"/>
    <numFmt numFmtId="165" formatCode="_(* #,##0_);_(* \(#,##0\);_(* &quot;-&quot;_);_(@_)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5" fillId="4" borderId="0" applyNumberFormat="0" applyBorder="0" applyAlignment="0" applyProtection="0"/>
    <xf numFmtId="0" fontId="16" fillId="16" borderId="1" applyNumberFormat="0" applyAlignment="0" applyProtection="0"/>
    <xf numFmtId="0" fontId="17" fillId="17" borderId="2" applyNumberFormat="0" applyAlignment="0" applyProtection="0"/>
    <xf numFmtId="0" fontId="18" fillId="0" borderId="3" applyNumberFormat="0" applyFill="0" applyAlignment="0" applyProtection="0"/>
    <xf numFmtId="0" fontId="19" fillId="0" borderId="0" applyNumberFormat="0" applyFill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21" borderId="0" applyNumberFormat="0" applyBorder="0" applyAlignment="0" applyProtection="0"/>
    <xf numFmtId="0" fontId="20" fillId="7" borderId="1" applyNumberFormat="0" applyAlignment="0" applyProtection="0"/>
    <xf numFmtId="0" fontId="21" fillId="3" borderId="0" applyNumberFormat="0" applyBorder="0" applyAlignment="0" applyProtection="0"/>
    <xf numFmtId="165" fontId="1" fillId="0" borderId="0" applyFont="0" applyFill="0" applyBorder="0" applyAlignment="0" applyProtection="0"/>
    <xf numFmtId="0" fontId="22" fillId="22" borderId="0" applyNumberFormat="0" applyBorder="0" applyAlignment="0" applyProtection="0"/>
    <xf numFmtId="0" fontId="1" fillId="23" borderId="4" applyNumberFormat="0" applyFont="0" applyAlignment="0" applyProtection="0"/>
    <xf numFmtId="0" fontId="23" fillId="16" borderId="5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9" fillId="0" borderId="8" applyNumberFormat="0" applyFill="0" applyAlignment="0" applyProtection="0"/>
    <xf numFmtId="0" fontId="29" fillId="0" borderId="9" applyNumberFormat="0" applyFill="0" applyAlignment="0" applyProtection="0"/>
  </cellStyleXfs>
  <cellXfs count="87">
    <xf numFmtId="0" fontId="0" fillId="0" borderId="0" xfId="0"/>
    <xf numFmtId="0" fontId="0" fillId="0" borderId="0" xfId="0" applyBorder="1"/>
    <xf numFmtId="0" fontId="4" fillId="0" borderId="10" xfId="0" applyFont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0" fillId="0" borderId="0" xfId="0" applyBorder="1" applyAlignment="1"/>
    <xf numFmtId="0" fontId="7" fillId="0" borderId="0" xfId="0" applyFont="1" applyFill="1" applyBorder="1"/>
    <xf numFmtId="0" fontId="7" fillId="0" borderId="12" xfId="0" applyFont="1" applyFill="1" applyBorder="1"/>
    <xf numFmtId="0" fontId="7" fillId="0" borderId="13" xfId="0" applyFont="1" applyFill="1" applyBorder="1"/>
    <xf numFmtId="0" fontId="2" fillId="0" borderId="15" xfId="0" applyFont="1" applyFill="1" applyBorder="1"/>
    <xf numFmtId="0" fontId="7" fillId="0" borderId="15" xfId="0" applyFont="1" applyFill="1" applyBorder="1"/>
    <xf numFmtId="0" fontId="7" fillId="0" borderId="16" xfId="0" applyFont="1" applyFill="1" applyBorder="1"/>
    <xf numFmtId="0" fontId="0" fillId="0" borderId="0" xfId="0" quotePrefix="1"/>
    <xf numFmtId="14" fontId="0" fillId="0" borderId="0" xfId="0" applyNumberFormat="1"/>
    <xf numFmtId="0" fontId="2" fillId="0" borderId="0" xfId="0" applyFont="1" applyBorder="1" applyAlignment="1">
      <alignment horizontal="right"/>
    </xf>
    <xf numFmtId="0" fontId="9" fillId="0" borderId="11" xfId="0" applyFont="1" applyBorder="1"/>
    <xf numFmtId="0" fontId="9" fillId="0" borderId="0" xfId="0" applyFont="1" applyBorder="1"/>
    <xf numFmtId="0" fontId="9" fillId="0" borderId="0" xfId="0" applyFont="1"/>
    <xf numFmtId="0" fontId="2" fillId="0" borderId="15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10" fillId="0" borderId="0" xfId="0" applyFont="1"/>
    <xf numFmtId="0" fontId="2" fillId="0" borderId="0" xfId="0" applyFont="1" applyFill="1" applyBorder="1" applyAlignment="1">
      <alignment horizontal="left"/>
    </xf>
    <xf numFmtId="0" fontId="0" fillId="0" borderId="11" xfId="0" applyBorder="1"/>
    <xf numFmtId="0" fontId="0" fillId="0" borderId="17" xfId="0" applyBorder="1" applyAlignment="1"/>
    <xf numFmtId="0" fontId="0" fillId="0" borderId="18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 applyProtection="1">
      <alignment horizontal="left"/>
      <protection hidden="1"/>
    </xf>
    <xf numFmtId="0" fontId="2" fillId="0" borderId="17" xfId="0" applyFont="1" applyBorder="1" applyAlignment="1" applyProtection="1">
      <alignment horizontal="center"/>
      <protection hidden="1"/>
    </xf>
    <xf numFmtId="14" fontId="2" fillId="0" borderId="17" xfId="0" applyNumberFormat="1" applyFont="1" applyBorder="1" applyAlignment="1" applyProtection="1">
      <protection hidden="1"/>
    </xf>
    <xf numFmtId="14" fontId="2" fillId="0" borderId="17" xfId="0" applyNumberFormat="1" applyFont="1" applyBorder="1" applyProtection="1">
      <protection hidden="1"/>
    </xf>
    <xf numFmtId="0" fontId="9" fillId="0" borderId="0" xfId="0" applyFont="1" applyFill="1" applyBorder="1" applyProtection="1">
      <protection hidden="1"/>
    </xf>
    <xf numFmtId="0" fontId="9" fillId="0" borderId="19" xfId="0" applyFont="1" applyFill="1" applyBorder="1" applyProtection="1">
      <protection hidden="1"/>
    </xf>
    <xf numFmtId="0" fontId="9" fillId="0" borderId="12" xfId="0" applyFont="1" applyFill="1" applyBorder="1" applyProtection="1">
      <protection hidden="1"/>
    </xf>
    <xf numFmtId="0" fontId="9" fillId="0" borderId="12" xfId="0" applyFont="1" applyBorder="1" applyProtection="1">
      <protection hidden="1"/>
    </xf>
    <xf numFmtId="0" fontId="9" fillId="0" borderId="13" xfId="0" applyFont="1" applyBorder="1" applyProtection="1">
      <protection hidden="1"/>
    </xf>
    <xf numFmtId="0" fontId="9" fillId="0" borderId="0" xfId="0" applyFont="1" applyBorder="1" applyProtection="1">
      <protection hidden="1"/>
    </xf>
    <xf numFmtId="164" fontId="3" fillId="0" borderId="20" xfId="32" applyNumberFormat="1" applyFont="1" applyFill="1" applyBorder="1" applyAlignment="1" applyProtection="1">
      <alignment vertical="distributed"/>
      <protection hidden="1"/>
    </xf>
    <xf numFmtId="164" fontId="3" fillId="0" borderId="21" xfId="32" applyNumberFormat="1" applyFont="1" applyFill="1" applyBorder="1" applyAlignment="1" applyProtection="1">
      <alignment vertical="distributed"/>
      <protection hidden="1"/>
    </xf>
    <xf numFmtId="164" fontId="8" fillId="0" borderId="10" xfId="0" applyNumberFormat="1" applyFont="1" applyFill="1" applyBorder="1" applyAlignment="1" applyProtection="1">
      <alignment vertical="distributed"/>
      <protection hidden="1"/>
    </xf>
    <xf numFmtId="164" fontId="8" fillId="0" borderId="22" xfId="0" applyNumberFormat="1" applyFont="1" applyFill="1" applyBorder="1" applyAlignment="1" applyProtection="1">
      <alignment vertical="distributed"/>
      <protection hidden="1"/>
    </xf>
    <xf numFmtId="0" fontId="2" fillId="0" borderId="0" xfId="0" applyFont="1"/>
    <xf numFmtId="0" fontId="3" fillId="0" borderId="23" xfId="0" applyFont="1" applyFill="1" applyBorder="1" applyAlignment="1" applyProtection="1">
      <alignment vertical="distributed"/>
      <protection locked="0"/>
    </xf>
    <xf numFmtId="0" fontId="3" fillId="0" borderId="24" xfId="0" applyFont="1" applyFill="1" applyBorder="1" applyAlignment="1" applyProtection="1">
      <alignment vertical="distributed"/>
      <protection locked="0"/>
    </xf>
    <xf numFmtId="0" fontId="3" fillId="0" borderId="25" xfId="0" applyFont="1" applyFill="1" applyBorder="1" applyAlignment="1" applyProtection="1">
      <alignment vertical="distributed"/>
      <protection locked="0"/>
    </xf>
    <xf numFmtId="0" fontId="3" fillId="0" borderId="26" xfId="0" applyFont="1" applyFill="1" applyBorder="1" applyAlignment="1" applyProtection="1">
      <alignment vertical="distributed"/>
      <protection locked="0"/>
    </xf>
    <xf numFmtId="164" fontId="3" fillId="0" borderId="27" xfId="32" applyNumberFormat="1" applyFont="1" applyFill="1" applyBorder="1" applyAlignment="1" applyProtection="1">
      <alignment vertical="distributed"/>
      <protection locked="0"/>
    </xf>
    <xf numFmtId="164" fontId="3" fillId="0" borderId="28" xfId="32" applyNumberFormat="1" applyFont="1" applyFill="1" applyBorder="1" applyAlignment="1" applyProtection="1">
      <alignment vertical="distributed"/>
      <protection locked="0"/>
    </xf>
    <xf numFmtId="0" fontId="3" fillId="0" borderId="29" xfId="0" applyFont="1" applyFill="1" applyBorder="1" applyAlignment="1" applyProtection="1">
      <alignment vertical="distributed"/>
      <protection locked="0"/>
    </xf>
    <xf numFmtId="164" fontId="3" fillId="0" borderId="30" xfId="0" applyNumberFormat="1" applyFont="1" applyFill="1" applyBorder="1" applyAlignment="1" applyProtection="1">
      <alignment vertical="distributed"/>
      <protection locked="0"/>
    </xf>
    <xf numFmtId="164" fontId="3" fillId="0" borderId="31" xfId="0" applyNumberFormat="1" applyFont="1" applyFill="1" applyBorder="1" applyAlignment="1" applyProtection="1">
      <alignment vertical="distributed"/>
      <protection locked="0"/>
    </xf>
    <xf numFmtId="0" fontId="3" fillId="0" borderId="32" xfId="0" applyFont="1" applyFill="1" applyBorder="1" applyAlignment="1" applyProtection="1">
      <alignment vertical="distributed"/>
      <protection locked="0"/>
    </xf>
    <xf numFmtId="164" fontId="3" fillId="0" borderId="33" xfId="0" applyNumberFormat="1" applyFont="1" applyFill="1" applyBorder="1" applyAlignment="1" applyProtection="1">
      <alignment vertical="distributed"/>
      <protection locked="0"/>
    </xf>
    <xf numFmtId="0" fontId="33" fillId="0" borderId="11" xfId="0" applyFont="1" applyFill="1" applyBorder="1" applyAlignment="1">
      <alignment horizontal="left"/>
    </xf>
    <xf numFmtId="0" fontId="33" fillId="0" borderId="14" xfId="0" applyFont="1" applyFill="1" applyBorder="1"/>
    <xf numFmtId="0" fontId="12" fillId="0" borderId="0" xfId="0" applyFont="1" applyBorder="1" applyAlignment="1">
      <alignment horizontal="center"/>
    </xf>
    <xf numFmtId="0" fontId="2" fillId="0" borderId="11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0" fillId="0" borderId="17" xfId="0" applyBorder="1" applyAlignment="1" applyProtection="1">
      <alignment horizontal="left"/>
      <protection hidden="1"/>
    </xf>
    <xf numFmtId="0" fontId="0" fillId="0" borderId="39" xfId="0" applyBorder="1" applyAlignment="1" applyProtection="1">
      <alignment horizontal="left"/>
      <protection hidden="1"/>
    </xf>
    <xf numFmtId="0" fontId="8" fillId="0" borderId="22" xfId="0" applyFont="1" applyFill="1" applyBorder="1" applyAlignment="1">
      <alignment horizontal="center" vertical="distributed"/>
    </xf>
    <xf numFmtId="0" fontId="8" fillId="0" borderId="36" xfId="0" applyFont="1" applyFill="1" applyBorder="1" applyAlignment="1">
      <alignment horizontal="center" vertical="distributed"/>
    </xf>
    <xf numFmtId="0" fontId="8" fillId="0" borderId="37" xfId="0" applyFont="1" applyFill="1" applyBorder="1" applyAlignment="1">
      <alignment horizontal="center" vertical="distributed"/>
    </xf>
    <xf numFmtId="0" fontId="11" fillId="0" borderId="0" xfId="0" applyFont="1" applyBorder="1" applyAlignment="1">
      <alignment horizontal="right"/>
    </xf>
    <xf numFmtId="0" fontId="5" fillId="0" borderId="17" xfId="0" applyFont="1" applyBorder="1" applyAlignment="1" applyProtection="1">
      <alignment horizontal="left"/>
      <protection hidden="1"/>
    </xf>
    <xf numFmtId="0" fontId="4" fillId="0" borderId="22" xfId="0" applyFont="1" applyFill="1" applyBorder="1" applyAlignment="1">
      <alignment horizontal="center"/>
    </xf>
    <xf numFmtId="0" fontId="4" fillId="0" borderId="36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4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22" xfId="0" applyFont="1" applyFill="1" applyBorder="1" applyAlignment="1">
      <alignment horizontal="center" vertical="distributed"/>
    </xf>
    <xf numFmtId="0" fontId="2" fillId="0" borderId="36" xfId="0" applyFont="1" applyFill="1" applyBorder="1" applyAlignment="1">
      <alignment horizontal="center" vertical="distributed"/>
    </xf>
    <xf numFmtId="0" fontId="2" fillId="0" borderId="37" xfId="0" applyFont="1" applyFill="1" applyBorder="1" applyAlignment="1">
      <alignment horizontal="center" vertical="distributed"/>
    </xf>
    <xf numFmtId="0" fontId="2" fillId="0" borderId="38" xfId="0" applyFont="1" applyBorder="1" applyAlignment="1">
      <alignment horizontal="center"/>
    </xf>
    <xf numFmtId="0" fontId="32" fillId="0" borderId="19" xfId="0" applyFont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3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illares [0]" xfId="32" builtinId="6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1" xfId="39" builtinId="16" customBuiltin="1"/>
    <cellStyle name="Título 2" xfId="40" builtinId="17" customBuiltin="1"/>
    <cellStyle name="Título 3" xfId="41" builtinId="18" customBuiltin="1"/>
    <cellStyle name="Total" xfId="42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0</xdr:row>
          <xdr:rowOff>123825</xdr:rowOff>
        </xdr:from>
        <xdr:to>
          <xdr:col>1</xdr:col>
          <xdr:colOff>1657350</xdr:colOff>
          <xdr:row>7</xdr:row>
          <xdr:rowOff>28575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9525</xdr:rowOff>
        </xdr:from>
        <xdr:to>
          <xdr:col>17</xdr:col>
          <xdr:colOff>923925</xdr:colOff>
          <xdr:row>7</xdr:row>
          <xdr:rowOff>123825</xdr:rowOff>
        </xdr:to>
        <xdr:sp macro="" textlink="">
          <xdr:nvSpPr>
            <xdr:cNvPr id="1028" name="Valida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absolute">
    <xdr:from>
      <xdr:col>14</xdr:col>
      <xdr:colOff>865909</xdr:colOff>
      <xdr:row>3</xdr:row>
      <xdr:rowOff>138546</xdr:rowOff>
    </xdr:from>
    <xdr:to>
      <xdr:col>16</xdr:col>
      <xdr:colOff>366736</xdr:colOff>
      <xdr:row>7</xdr:row>
      <xdr:rowOff>33159</xdr:rowOff>
    </xdr:to>
    <xdr:pic macro="[0]!generartxtCedulaQ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49954" y="779319"/>
          <a:ext cx="1994646" cy="587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30"/>
  <sheetViews>
    <sheetView workbookViewId="0">
      <selection activeCell="B3" sqref="B3"/>
    </sheetView>
  </sheetViews>
  <sheetFormatPr baseColWidth="10" defaultRowHeight="12.75" x14ac:dyDescent="0.2"/>
  <cols>
    <col min="2" max="2" width="12.28515625" bestFit="1" customWidth="1"/>
    <col min="3" max="3" width="24.28515625" customWidth="1"/>
    <col min="14" max="14" width="15.5703125" customWidth="1"/>
    <col min="15" max="15" width="16.28515625" customWidth="1"/>
    <col min="16" max="16" width="16.140625" bestFit="1" customWidth="1"/>
    <col min="17" max="17" width="12.28515625" bestFit="1" customWidth="1"/>
    <col min="18" max="18" width="10.140625" bestFit="1" customWidth="1"/>
    <col min="19" max="19" width="10.28515625" bestFit="1" customWidth="1"/>
    <col min="21" max="21" width="17" bestFit="1" customWidth="1"/>
  </cols>
  <sheetData>
    <row r="1" spans="1:21" x14ac:dyDescent="0.2">
      <c r="A1" t="s">
        <v>50</v>
      </c>
      <c r="J1" t="s">
        <v>29</v>
      </c>
    </row>
    <row r="2" spans="1:21" x14ac:dyDescent="0.2">
      <c r="A2" t="s">
        <v>38</v>
      </c>
      <c r="B2" t="s">
        <v>39</v>
      </c>
      <c r="C2" t="s">
        <v>56</v>
      </c>
      <c r="O2" t="s">
        <v>39</v>
      </c>
      <c r="P2" t="s">
        <v>51</v>
      </c>
      <c r="Q2" t="s">
        <v>9</v>
      </c>
      <c r="R2" t="s">
        <v>40</v>
      </c>
      <c r="S2" t="s">
        <v>41</v>
      </c>
      <c r="T2" t="s">
        <v>42</v>
      </c>
      <c r="U2" t="s">
        <v>10</v>
      </c>
    </row>
    <row r="3" spans="1:21" x14ac:dyDescent="0.2">
      <c r="A3">
        <v>-1</v>
      </c>
      <c r="K3" t="s">
        <v>43</v>
      </c>
    </row>
    <row r="4" spans="1:21" x14ac:dyDescent="0.2">
      <c r="A4">
        <v>0</v>
      </c>
      <c r="B4" s="12"/>
      <c r="K4" t="s">
        <v>44</v>
      </c>
      <c r="O4" s="12"/>
    </row>
    <row r="5" spans="1:21" x14ac:dyDescent="0.2">
      <c r="A5">
        <v>0</v>
      </c>
      <c r="K5" t="s">
        <v>45</v>
      </c>
    </row>
    <row r="6" spans="1:21" x14ac:dyDescent="0.2">
      <c r="K6" t="s">
        <v>46</v>
      </c>
    </row>
    <row r="7" spans="1:21" x14ac:dyDescent="0.2">
      <c r="K7" t="s">
        <v>47</v>
      </c>
    </row>
    <row r="8" spans="1:21" x14ac:dyDescent="0.2">
      <c r="K8" t="s">
        <v>48</v>
      </c>
      <c r="L8" s="13"/>
    </row>
    <row r="9" spans="1:21" x14ac:dyDescent="0.2">
      <c r="K9" t="s">
        <v>49</v>
      </c>
      <c r="L9" s="13"/>
    </row>
    <row r="10" spans="1:21" x14ac:dyDescent="0.2">
      <c r="K10" t="s">
        <v>39</v>
      </c>
    </row>
    <row r="15" spans="1:21" x14ac:dyDescent="0.2">
      <c r="O15" s="12"/>
    </row>
    <row r="30" spans="1:1" x14ac:dyDescent="0.2">
      <c r="A30">
        <v>1</v>
      </c>
    </row>
  </sheetData>
  <phoneticPr fontId="6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ED_06"/>
  <dimension ref="A1:IV168"/>
  <sheetViews>
    <sheetView showGridLines="0" showRowColHeaders="0" tabSelected="1" view="pageBreakPreview" topLeftCell="B1" zoomScale="55" zoomScaleNormal="100" workbookViewId="0">
      <selection activeCell="F20" sqref="F20"/>
    </sheetView>
  </sheetViews>
  <sheetFormatPr baseColWidth="10" defaultRowHeight="12.75" x14ac:dyDescent="0.2"/>
  <cols>
    <col min="1" max="1" width="11.42578125" style="17"/>
    <col min="2" max="4" width="33.140625" customWidth="1"/>
    <col min="5" max="5" width="33.85546875" customWidth="1"/>
    <col min="6" max="6" width="24.7109375" customWidth="1"/>
    <col min="7" max="19" width="18.7109375" customWidth="1"/>
    <col min="21" max="26" width="0" hidden="1" customWidth="1"/>
  </cols>
  <sheetData>
    <row r="1" spans="1:256" s="17" customFormat="1" ht="13.5" thickBot="1" x14ac:dyDescent="0.25">
      <c r="A1" s="30"/>
      <c r="B1" s="31"/>
      <c r="C1" s="32"/>
      <c r="D1" s="32"/>
      <c r="E1" s="32"/>
      <c r="F1" s="32"/>
      <c r="G1" s="32"/>
      <c r="H1" s="32">
        <f>J1-17+1</f>
        <v>34</v>
      </c>
      <c r="I1" s="32">
        <f>J1-12+1</f>
        <v>39</v>
      </c>
      <c r="J1" s="32">
        <f>ROW(B49)+1</f>
        <v>50</v>
      </c>
      <c r="K1" s="32" t="str">
        <f ca="1">CONCATENATE("$A$1:",ADDRESS(J1,M1))</f>
        <v>$A$1:$U$50</v>
      </c>
      <c r="L1" s="32" t="str">
        <f ca="1">CONCATENATE("$A$1:",ADDRESS(N1,M1))</f>
        <v>$A$1:$U$52</v>
      </c>
      <c r="M1" s="32">
        <f ca="1">CELL("Col",U46)</f>
        <v>21</v>
      </c>
      <c r="N1" s="32">
        <f>ROW(S52)</f>
        <v>52</v>
      </c>
      <c r="O1" s="32" t="str">
        <f ca="1">CELL("address",S50)</f>
        <v>$S$50</v>
      </c>
      <c r="P1" s="32" t="str">
        <f ca="1">CELL("address",T47)</f>
        <v>$T$47</v>
      </c>
      <c r="Q1" s="33"/>
      <c r="R1" s="33"/>
      <c r="S1" s="34"/>
      <c r="T1" s="35"/>
      <c r="U1" s="35"/>
      <c r="V1" s="35"/>
      <c r="W1" s="16"/>
      <c r="X1" s="16"/>
      <c r="Y1" s="16"/>
      <c r="Z1" s="16"/>
      <c r="AA1" s="16"/>
      <c r="AB1" s="16"/>
      <c r="AC1" s="16"/>
      <c r="AD1" s="16"/>
      <c r="AE1" s="16"/>
      <c r="AF1" s="16"/>
      <c r="IV1" t="s">
        <v>36</v>
      </c>
    </row>
    <row r="2" spans="1:256" ht="24" thickBot="1" x14ac:dyDescent="0.4">
      <c r="A2" s="15"/>
      <c r="B2" s="22"/>
      <c r="C2" s="1"/>
      <c r="D2" s="1"/>
      <c r="E2" s="54" t="s">
        <v>2</v>
      </c>
      <c r="F2" s="54"/>
      <c r="G2" s="54"/>
      <c r="H2" s="54"/>
      <c r="I2" s="54"/>
      <c r="J2" s="54"/>
      <c r="K2" s="54"/>
      <c r="L2" s="1"/>
      <c r="M2" s="1"/>
      <c r="N2" s="1"/>
      <c r="O2" s="1"/>
      <c r="P2" s="1"/>
      <c r="Q2" s="1"/>
      <c r="R2" s="2" t="s">
        <v>26</v>
      </c>
      <c r="S2" s="24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256" x14ac:dyDescent="0.2">
      <c r="A3" s="15"/>
      <c r="B3" s="2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24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256" ht="15" x14ac:dyDescent="0.25">
      <c r="A4" s="15"/>
      <c r="B4" s="22"/>
      <c r="C4" s="1"/>
      <c r="D4" s="1"/>
      <c r="E4" s="62" t="s">
        <v>3</v>
      </c>
      <c r="F4" s="62"/>
      <c r="G4" s="63"/>
      <c r="H4" s="63"/>
      <c r="I4" s="63"/>
      <c r="J4" s="63"/>
      <c r="K4" s="63"/>
      <c r="L4" s="63"/>
      <c r="M4" s="1"/>
      <c r="N4" s="1"/>
      <c r="O4" s="1"/>
      <c r="P4" s="1"/>
      <c r="Q4" s="1"/>
      <c r="R4" s="1"/>
      <c r="S4" s="24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256" x14ac:dyDescent="0.2">
      <c r="A5" s="15"/>
      <c r="B5" s="22"/>
      <c r="C5" s="1"/>
      <c r="D5" s="1"/>
      <c r="E5" s="3"/>
      <c r="F5" s="3"/>
      <c r="G5" s="25"/>
      <c r="H5" s="25"/>
      <c r="I5" s="25"/>
      <c r="J5" s="25"/>
      <c r="K5" s="25"/>
      <c r="L5" s="25"/>
      <c r="M5" s="1"/>
      <c r="N5" s="1"/>
      <c r="O5" s="1"/>
      <c r="P5" s="1"/>
      <c r="Q5" s="1"/>
      <c r="R5" s="1"/>
      <c r="S5" s="24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256" ht="15" x14ac:dyDescent="0.25">
      <c r="A6" s="15"/>
      <c r="B6" s="22"/>
      <c r="C6" s="1"/>
      <c r="D6" s="1"/>
      <c r="E6" s="62" t="s">
        <v>4</v>
      </c>
      <c r="F6" s="62"/>
      <c r="G6" s="63"/>
      <c r="H6" s="63"/>
      <c r="I6" s="63"/>
      <c r="J6" s="63"/>
      <c r="K6" s="63"/>
      <c r="L6" s="63"/>
      <c r="M6" s="1"/>
      <c r="N6" s="1"/>
      <c r="O6" s="1"/>
      <c r="P6" s="1"/>
      <c r="Q6" s="1"/>
      <c r="R6" s="1"/>
      <c r="S6" s="24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256" x14ac:dyDescent="0.2">
      <c r="A7" s="15"/>
      <c r="B7" s="22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24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256" x14ac:dyDescent="0.2">
      <c r="A8" s="15"/>
      <c r="B8" s="22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24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256" x14ac:dyDescent="0.2">
      <c r="A9" s="15"/>
      <c r="B9" s="55" t="s">
        <v>64</v>
      </c>
      <c r="C9" s="56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1"/>
      <c r="S9" s="24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256" x14ac:dyDescent="0.2">
      <c r="A10" s="15"/>
      <c r="B10" s="55" t="s">
        <v>5</v>
      </c>
      <c r="C10" s="56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26"/>
      <c r="P10" s="26"/>
      <c r="Q10" s="26"/>
      <c r="R10" s="1"/>
      <c r="S10" s="24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256" x14ac:dyDescent="0.2">
      <c r="A11" s="15"/>
      <c r="B11" s="55" t="s">
        <v>65</v>
      </c>
      <c r="C11" s="56"/>
      <c r="D11" s="14" t="s">
        <v>0</v>
      </c>
      <c r="E11" s="27"/>
      <c r="F11" s="74" t="s">
        <v>66</v>
      </c>
      <c r="G11" s="74"/>
      <c r="H11" s="28"/>
      <c r="I11" s="4" t="s">
        <v>6</v>
      </c>
      <c r="J11" s="29"/>
      <c r="K11" s="1"/>
      <c r="L11" s="1"/>
      <c r="M11" s="1"/>
      <c r="N11" s="3"/>
      <c r="O11" s="3"/>
      <c r="P11" s="3"/>
      <c r="Q11" s="3"/>
      <c r="R11" s="1"/>
      <c r="S11" s="24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256" x14ac:dyDescent="0.2">
      <c r="A12" s="15"/>
      <c r="B12" s="55" t="s">
        <v>1</v>
      </c>
      <c r="C12" s="56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3"/>
      <c r="P12" s="3"/>
      <c r="Q12" s="3"/>
      <c r="R12" s="1"/>
      <c r="S12" s="24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256" ht="13.5" thickBot="1" x14ac:dyDescent="0.25">
      <c r="A13" s="15"/>
      <c r="B13" s="22"/>
      <c r="C13" s="1"/>
      <c r="D13" s="1"/>
      <c r="E13" s="1"/>
      <c r="F13" s="5"/>
      <c r="G13" s="5"/>
      <c r="H13" s="5"/>
      <c r="I13" s="5"/>
      <c r="J13" s="5"/>
      <c r="K13" s="1"/>
      <c r="L13" s="1"/>
      <c r="M13" s="1"/>
      <c r="N13" s="1"/>
      <c r="O13" s="1"/>
      <c r="P13" s="1"/>
      <c r="Q13" s="1"/>
      <c r="R13" s="1"/>
      <c r="S13" s="24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256" ht="18.75" thickBot="1" x14ac:dyDescent="0.3">
      <c r="A14" s="15"/>
      <c r="B14" s="64" t="s">
        <v>7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6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256" ht="13.5" thickBot="1" x14ac:dyDescent="0.25">
      <c r="A15" s="15"/>
      <c r="B15" s="67" t="s">
        <v>8</v>
      </c>
      <c r="C15" s="69" t="s">
        <v>54</v>
      </c>
      <c r="D15" s="69" t="s">
        <v>55</v>
      </c>
      <c r="E15" s="69" t="s">
        <v>9</v>
      </c>
      <c r="F15" s="69" t="s">
        <v>10</v>
      </c>
      <c r="G15" s="71" t="s">
        <v>11</v>
      </c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3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256" ht="13.5" thickBot="1" x14ac:dyDescent="0.25">
      <c r="A16" s="15"/>
      <c r="B16" s="68"/>
      <c r="C16" s="70"/>
      <c r="D16" s="70"/>
      <c r="E16" s="70"/>
      <c r="F16" s="70"/>
      <c r="G16" s="18" t="s">
        <v>12</v>
      </c>
      <c r="H16" s="19" t="s">
        <v>13</v>
      </c>
      <c r="I16" s="19" t="s">
        <v>14</v>
      </c>
      <c r="J16" s="19" t="s">
        <v>15</v>
      </c>
      <c r="K16" s="19" t="s">
        <v>16</v>
      </c>
      <c r="L16" s="19" t="s">
        <v>17</v>
      </c>
      <c r="M16" s="19" t="s">
        <v>18</v>
      </c>
      <c r="N16" s="19" t="s">
        <v>19</v>
      </c>
      <c r="O16" s="19" t="s">
        <v>20</v>
      </c>
      <c r="P16" s="19" t="s">
        <v>21</v>
      </c>
      <c r="Q16" s="19" t="s">
        <v>22</v>
      </c>
      <c r="R16" s="19" t="s">
        <v>23</v>
      </c>
      <c r="S16" s="19" t="s">
        <v>24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x14ac:dyDescent="0.2">
      <c r="A17" s="15"/>
      <c r="B17" s="44"/>
      <c r="C17" s="41"/>
      <c r="D17" s="41"/>
      <c r="E17" s="41"/>
      <c r="F17" s="41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6"/>
      <c r="S17" s="36">
        <f t="shared" ref="S17:S46" si="0">SUM(G17:R17)</f>
        <v>0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x14ac:dyDescent="0.2">
      <c r="A18" s="15"/>
      <c r="B18" s="47"/>
      <c r="C18" s="42"/>
      <c r="D18" s="42"/>
      <c r="E18" s="42"/>
      <c r="F18" s="42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9"/>
      <c r="S18" s="37">
        <f t="shared" si="0"/>
        <v>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x14ac:dyDescent="0.2">
      <c r="A19" s="15"/>
      <c r="B19" s="47"/>
      <c r="C19" s="42"/>
      <c r="D19" s="42"/>
      <c r="E19" s="42"/>
      <c r="F19" s="42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9"/>
      <c r="S19" s="37">
        <f t="shared" si="0"/>
        <v>0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x14ac:dyDescent="0.2">
      <c r="A20" s="15"/>
      <c r="B20" s="47"/>
      <c r="C20" s="42"/>
      <c r="D20" s="42"/>
      <c r="E20" s="42"/>
      <c r="F20" s="42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9"/>
      <c r="S20" s="37">
        <f t="shared" si="0"/>
        <v>0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x14ac:dyDescent="0.2">
      <c r="A21" s="15"/>
      <c r="B21" s="47"/>
      <c r="C21" s="42"/>
      <c r="D21" s="42"/>
      <c r="E21" s="42"/>
      <c r="F21" s="42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9"/>
      <c r="S21" s="37">
        <f t="shared" si="0"/>
        <v>0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x14ac:dyDescent="0.2">
      <c r="A22" s="15"/>
      <c r="B22" s="47"/>
      <c r="C22" s="42"/>
      <c r="D22" s="42"/>
      <c r="E22" s="42"/>
      <c r="F22" s="42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9"/>
      <c r="S22" s="37">
        <f t="shared" si="0"/>
        <v>0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x14ac:dyDescent="0.2">
      <c r="A23" s="15"/>
      <c r="B23" s="47"/>
      <c r="C23" s="42"/>
      <c r="D23" s="42"/>
      <c r="E23" s="42"/>
      <c r="F23" s="42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9"/>
      <c r="S23" s="37">
        <f t="shared" si="0"/>
        <v>0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2">
      <c r="A24" s="15"/>
      <c r="B24" s="47"/>
      <c r="C24" s="42"/>
      <c r="D24" s="42"/>
      <c r="E24" s="42"/>
      <c r="F24" s="42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9"/>
      <c r="S24" s="37">
        <f t="shared" si="0"/>
        <v>0</v>
      </c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">
      <c r="A25" s="15"/>
      <c r="B25" s="47"/>
      <c r="C25" s="42"/>
      <c r="D25" s="42"/>
      <c r="E25" s="42"/>
      <c r="F25" s="42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9"/>
      <c r="S25" s="37">
        <f t="shared" si="0"/>
        <v>0</v>
      </c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">
      <c r="A26" s="15"/>
      <c r="B26" s="47"/>
      <c r="C26" s="42"/>
      <c r="D26" s="42"/>
      <c r="E26" s="42"/>
      <c r="F26" s="42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9"/>
      <c r="S26" s="37">
        <f t="shared" si="0"/>
        <v>0</v>
      </c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">
      <c r="A27" s="15"/>
      <c r="B27" s="47"/>
      <c r="C27" s="42"/>
      <c r="D27" s="42"/>
      <c r="E27" s="42"/>
      <c r="F27" s="42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9"/>
      <c r="S27" s="37">
        <f t="shared" si="0"/>
        <v>0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">
      <c r="A28" s="15"/>
      <c r="B28" s="47"/>
      <c r="C28" s="42"/>
      <c r="D28" s="42" t="s">
        <v>70</v>
      </c>
      <c r="E28" s="42"/>
      <c r="F28" s="42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9"/>
      <c r="S28" s="37">
        <f t="shared" si="0"/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">
      <c r="A29" s="15"/>
      <c r="B29" s="47"/>
      <c r="C29" s="42"/>
      <c r="D29" s="42"/>
      <c r="E29" s="42"/>
      <c r="F29" s="42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9"/>
      <c r="S29" s="37">
        <f t="shared" si="0"/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">
      <c r="A30" s="15"/>
      <c r="B30" s="47"/>
      <c r="C30" s="42"/>
      <c r="D30" s="42"/>
      <c r="E30" s="42"/>
      <c r="F30" s="42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9"/>
      <c r="S30" s="37">
        <f t="shared" si="0"/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">
      <c r="A31" s="15"/>
      <c r="B31" s="47"/>
      <c r="C31" s="42"/>
      <c r="D31" s="42"/>
      <c r="E31" s="42"/>
      <c r="F31" s="42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9"/>
      <c r="S31" s="37">
        <f t="shared" si="0"/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">
      <c r="A32" s="15"/>
      <c r="B32" s="47"/>
      <c r="C32" s="42"/>
      <c r="D32" s="42"/>
      <c r="E32" s="42"/>
      <c r="F32" s="42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9"/>
      <c r="S32" s="37">
        <f t="shared" si="0"/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">
      <c r="A33" s="15"/>
      <c r="B33" s="47"/>
      <c r="C33" s="42"/>
      <c r="D33" s="42"/>
      <c r="E33" s="42"/>
      <c r="F33" s="42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9"/>
      <c r="S33" s="37">
        <f t="shared" si="0"/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">
      <c r="A34" s="15"/>
      <c r="B34" s="47"/>
      <c r="C34" s="42"/>
      <c r="D34" s="42"/>
      <c r="E34" s="42"/>
      <c r="F34" s="42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9"/>
      <c r="S34" s="37">
        <f t="shared" si="0"/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">
      <c r="A35" s="15"/>
      <c r="B35" s="47"/>
      <c r="C35" s="42"/>
      <c r="D35" s="42"/>
      <c r="E35" s="42"/>
      <c r="F35" s="4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9"/>
      <c r="S35" s="37">
        <f t="shared" si="0"/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">
      <c r="A36" s="15"/>
      <c r="B36" s="47"/>
      <c r="C36" s="42"/>
      <c r="D36" s="42"/>
      <c r="E36" s="42"/>
      <c r="F36" s="42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9"/>
      <c r="S36" s="37">
        <f t="shared" si="0"/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">
      <c r="A37" s="15"/>
      <c r="B37" s="47"/>
      <c r="C37" s="42"/>
      <c r="D37" s="42"/>
      <c r="E37" s="42"/>
      <c r="F37" s="42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9"/>
      <c r="S37" s="37">
        <f t="shared" si="0"/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">
      <c r="A38" s="15"/>
      <c r="B38" s="47"/>
      <c r="C38" s="42"/>
      <c r="D38" s="42"/>
      <c r="E38" s="42"/>
      <c r="F38" s="42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9"/>
      <c r="S38" s="37">
        <f t="shared" si="0"/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">
      <c r="A39" s="15"/>
      <c r="B39" s="47"/>
      <c r="C39" s="42"/>
      <c r="D39" s="42"/>
      <c r="E39" s="42"/>
      <c r="F39" s="42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9"/>
      <c r="S39" s="37">
        <f t="shared" si="0"/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x14ac:dyDescent="0.2">
      <c r="A40" s="15"/>
      <c r="B40" s="47"/>
      <c r="C40" s="42"/>
      <c r="D40" s="42"/>
      <c r="E40" s="42"/>
      <c r="F40" s="42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9"/>
      <c r="S40" s="37">
        <f t="shared" si="0"/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x14ac:dyDescent="0.2">
      <c r="A41" s="15"/>
      <c r="B41" s="47"/>
      <c r="C41" s="42"/>
      <c r="D41" s="42"/>
      <c r="E41" s="42"/>
      <c r="F41" s="42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9"/>
      <c r="S41" s="37">
        <f t="shared" si="0"/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x14ac:dyDescent="0.2">
      <c r="A42" s="15"/>
      <c r="B42" s="47"/>
      <c r="C42" s="42"/>
      <c r="D42" s="42"/>
      <c r="E42" s="42"/>
      <c r="F42" s="42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9"/>
      <c r="S42" s="37">
        <f t="shared" si="0"/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x14ac:dyDescent="0.2">
      <c r="A43" s="15"/>
      <c r="B43" s="47"/>
      <c r="C43" s="42"/>
      <c r="D43" s="42"/>
      <c r="E43" s="42"/>
      <c r="F43" s="42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9"/>
      <c r="S43" s="37">
        <f t="shared" si="0"/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x14ac:dyDescent="0.2">
      <c r="A44" s="15"/>
      <c r="B44" s="47"/>
      <c r="C44" s="42"/>
      <c r="D44" s="42"/>
      <c r="E44" s="42"/>
      <c r="F44" s="42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9"/>
      <c r="S44" s="37">
        <f t="shared" si="0"/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x14ac:dyDescent="0.2">
      <c r="A45" s="15"/>
      <c r="B45" s="47"/>
      <c r="C45" s="42"/>
      <c r="D45" s="42"/>
      <c r="E45" s="42"/>
      <c r="F45" s="42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9"/>
      <c r="S45" s="37">
        <f t="shared" si="0"/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3.5" thickBot="1" x14ac:dyDescent="0.25">
      <c r="A46" s="15"/>
      <c r="B46" s="50"/>
      <c r="C46" s="43"/>
      <c r="D46" s="43"/>
      <c r="E46" s="43"/>
      <c r="F46" s="43"/>
      <c r="G46" s="51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9"/>
      <c r="S46" s="37">
        <f t="shared" si="0"/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3.5" thickBot="1" x14ac:dyDescent="0.25">
      <c r="A47" s="15"/>
      <c r="B47" s="59" t="s">
        <v>25</v>
      </c>
      <c r="C47" s="60"/>
      <c r="D47" s="60"/>
      <c r="E47" s="60"/>
      <c r="F47" s="61"/>
      <c r="G47" s="38">
        <f t="shared" ref="G47:S47" si="1">SUM(G17:G46)</f>
        <v>0</v>
      </c>
      <c r="H47" s="38">
        <f t="shared" si="1"/>
        <v>0</v>
      </c>
      <c r="I47" s="38">
        <f t="shared" si="1"/>
        <v>0</v>
      </c>
      <c r="J47" s="38">
        <f t="shared" si="1"/>
        <v>0</v>
      </c>
      <c r="K47" s="38">
        <f t="shared" si="1"/>
        <v>0</v>
      </c>
      <c r="L47" s="38">
        <f t="shared" si="1"/>
        <v>0</v>
      </c>
      <c r="M47" s="38">
        <f t="shared" si="1"/>
        <v>0</v>
      </c>
      <c r="N47" s="38">
        <f t="shared" si="1"/>
        <v>0</v>
      </c>
      <c r="O47" s="38">
        <f t="shared" si="1"/>
        <v>0</v>
      </c>
      <c r="P47" s="38">
        <f t="shared" si="1"/>
        <v>0</v>
      </c>
      <c r="Q47" s="38">
        <f t="shared" si="1"/>
        <v>0</v>
      </c>
      <c r="R47" s="39">
        <f t="shared" si="1"/>
        <v>0</v>
      </c>
      <c r="S47" s="38">
        <f t="shared" si="1"/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5.75" x14ac:dyDescent="0.25">
      <c r="A48" s="15"/>
      <c r="B48" s="52" t="s">
        <v>67</v>
      </c>
      <c r="C48" s="21"/>
      <c r="D48" s="21"/>
      <c r="E48" s="6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8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6.5" thickBot="1" x14ac:dyDescent="0.3">
      <c r="A49" s="15"/>
      <c r="B49" s="53" t="s">
        <v>68</v>
      </c>
      <c r="C49" s="9"/>
      <c r="D49" s="9"/>
      <c r="E49" s="9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x14ac:dyDescent="0.2">
      <c r="A50" s="16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x14ac:dyDescent="0.2">
      <c r="A51" s="16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x14ac:dyDescent="0.2">
      <c r="A52" s="16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x14ac:dyDescent="0.2">
      <c r="A53" s="16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x14ac:dyDescent="0.2">
      <c r="A54" s="16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x14ac:dyDescent="0.2">
      <c r="A55" s="16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x14ac:dyDescent="0.2">
      <c r="A56" s="16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x14ac:dyDescent="0.2">
      <c r="A57" s="16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x14ac:dyDescent="0.2">
      <c r="A58" s="16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x14ac:dyDescent="0.2">
      <c r="A59" s="16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x14ac:dyDescent="0.2">
      <c r="A60" s="16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x14ac:dyDescent="0.2">
      <c r="A61" s="16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x14ac:dyDescent="0.2">
      <c r="A62" s="16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x14ac:dyDescent="0.2">
      <c r="A63" s="16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14.25" customHeight="1" x14ac:dyDescent="0.2">
      <c r="A64" s="16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x14ac:dyDescent="0.2">
      <c r="A65" s="16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4.25" customHeight="1" x14ac:dyDescent="0.2">
      <c r="A66" s="16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x14ac:dyDescent="0.2">
      <c r="A67" s="16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4.25" customHeight="1" x14ac:dyDescent="0.2">
      <c r="A68" s="16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x14ac:dyDescent="0.2">
      <c r="A69" s="16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3.5" customHeight="1" x14ac:dyDescent="0.2">
      <c r="A70" s="16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x14ac:dyDescent="0.2">
      <c r="A71" s="16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x14ac:dyDescent="0.2">
      <c r="A72" s="16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x14ac:dyDescent="0.2">
      <c r="A73" s="16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x14ac:dyDescent="0.2">
      <c r="A74" s="16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x14ac:dyDescent="0.2">
      <c r="A75" s="16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x14ac:dyDescent="0.2">
      <c r="A76" s="16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x14ac:dyDescent="0.2">
      <c r="A77" s="16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</row>
    <row r="78" spans="1:32" x14ac:dyDescent="0.2">
      <c r="A78" s="16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</row>
    <row r="79" spans="1:32" ht="12.75" customHeight="1" x14ac:dyDescent="0.2">
      <c r="A79" s="16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</row>
    <row r="80" spans="1:32" x14ac:dyDescent="0.2">
      <c r="A80" s="16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</row>
    <row r="81" spans="1:32" x14ac:dyDescent="0.2">
      <c r="A81" s="16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</row>
    <row r="82" spans="1:32" x14ac:dyDescent="0.2">
      <c r="A82" s="16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</row>
    <row r="83" spans="1:32" x14ac:dyDescent="0.2">
      <c r="A83" s="16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</row>
    <row r="84" spans="1:32" x14ac:dyDescent="0.2">
      <c r="A84" s="16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</row>
    <row r="85" spans="1:32" x14ac:dyDescent="0.2">
      <c r="A85" s="16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</row>
    <row r="86" spans="1:32" x14ac:dyDescent="0.2">
      <c r="A86" s="16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</row>
    <row r="87" spans="1:32" x14ac:dyDescent="0.2">
      <c r="A87" s="16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</row>
    <row r="88" spans="1:32" x14ac:dyDescent="0.2">
      <c r="A88" s="16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</row>
    <row r="89" spans="1:32" x14ac:dyDescent="0.2">
      <c r="A89" s="16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</row>
    <row r="90" spans="1:32" x14ac:dyDescent="0.2">
      <c r="A90" s="16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</row>
    <row r="91" spans="1:32" x14ac:dyDescent="0.2">
      <c r="A91" s="16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  <row r="92" spans="1:32" x14ac:dyDescent="0.2"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</row>
    <row r="93" spans="1:32" x14ac:dyDescent="0.2"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 x14ac:dyDescent="0.2"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95" spans="1:32" x14ac:dyDescent="0.2"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</row>
    <row r="96" spans="1:32" x14ac:dyDescent="0.2"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</row>
    <row r="97" spans="17:32" x14ac:dyDescent="0.2"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</row>
    <row r="98" spans="17:32" x14ac:dyDescent="0.2"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</row>
    <row r="99" spans="17:32" x14ac:dyDescent="0.2"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</row>
    <row r="100" spans="17:32" x14ac:dyDescent="0.2"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</row>
    <row r="101" spans="17:32" x14ac:dyDescent="0.2"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</row>
    <row r="102" spans="17:32" x14ac:dyDescent="0.2"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7:32" x14ac:dyDescent="0.2"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</row>
    <row r="104" spans="17:32" x14ac:dyDescent="0.2"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</row>
    <row r="105" spans="17:32" x14ac:dyDescent="0.2"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</row>
    <row r="106" spans="17:32" x14ac:dyDescent="0.2"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</row>
    <row r="107" spans="17:32" x14ac:dyDescent="0.2"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</row>
    <row r="108" spans="17:32" x14ac:dyDescent="0.2"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</row>
    <row r="109" spans="17:32" x14ac:dyDescent="0.2"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</row>
    <row r="110" spans="17:32" x14ac:dyDescent="0.2"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</row>
    <row r="111" spans="17:32" x14ac:dyDescent="0.2"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</row>
    <row r="112" spans="17:32" x14ac:dyDescent="0.2"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</row>
    <row r="113" spans="17:32" x14ac:dyDescent="0.2"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</row>
    <row r="114" spans="17:32" x14ac:dyDescent="0.2"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7:32" x14ac:dyDescent="0.2"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</row>
    <row r="116" spans="17:32" x14ac:dyDescent="0.2"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  <row r="117" spans="17:32" x14ac:dyDescent="0.2"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</row>
    <row r="118" spans="17:32" x14ac:dyDescent="0.2"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</row>
    <row r="119" spans="17:32" x14ac:dyDescent="0.2"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</row>
    <row r="120" spans="17:32" x14ac:dyDescent="0.2"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17:32" x14ac:dyDescent="0.2"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</row>
    <row r="122" spans="17:32" x14ac:dyDescent="0.2"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</row>
    <row r="123" spans="17:32" x14ac:dyDescent="0.2"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</row>
    <row r="124" spans="17:32" x14ac:dyDescent="0.2"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</row>
    <row r="125" spans="17:32" x14ac:dyDescent="0.2"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</row>
    <row r="126" spans="17:32" x14ac:dyDescent="0.2"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</row>
    <row r="127" spans="17:32" x14ac:dyDescent="0.2"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</row>
    <row r="128" spans="17:32" x14ac:dyDescent="0.2"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</row>
    <row r="129" spans="17:32" x14ac:dyDescent="0.2"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</row>
    <row r="130" spans="17:32" x14ac:dyDescent="0.2"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</row>
    <row r="131" spans="17:32" x14ac:dyDescent="0.2"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</row>
    <row r="132" spans="17:32" x14ac:dyDescent="0.2"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</row>
    <row r="133" spans="17:32" x14ac:dyDescent="0.2"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</row>
    <row r="134" spans="17:32" x14ac:dyDescent="0.2"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</row>
    <row r="135" spans="17:32" x14ac:dyDescent="0.2"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17:32" x14ac:dyDescent="0.2"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</row>
    <row r="137" spans="17:32" x14ac:dyDescent="0.2"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</row>
    <row r="138" spans="17:32" x14ac:dyDescent="0.2"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</row>
    <row r="139" spans="17:32" x14ac:dyDescent="0.2"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</row>
    <row r="140" spans="17:32" x14ac:dyDescent="0.2"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</row>
    <row r="141" spans="17:32" x14ac:dyDescent="0.2"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</row>
    <row r="142" spans="17:32" x14ac:dyDescent="0.2"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</row>
    <row r="143" spans="17:32" x14ac:dyDescent="0.2"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</row>
    <row r="144" spans="17:32" x14ac:dyDescent="0.2"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</row>
    <row r="145" spans="17:32" x14ac:dyDescent="0.2"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</row>
    <row r="146" spans="17:32" x14ac:dyDescent="0.2"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</row>
    <row r="147" spans="17:32" x14ac:dyDescent="0.2"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</row>
    <row r="148" spans="17:32" x14ac:dyDescent="0.2"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</row>
    <row r="149" spans="17:32" x14ac:dyDescent="0.2"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</row>
    <row r="150" spans="17:32" x14ac:dyDescent="0.2"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</row>
    <row r="151" spans="17:32" x14ac:dyDescent="0.2"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</row>
    <row r="152" spans="17:32" x14ac:dyDescent="0.2"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</row>
    <row r="153" spans="17:32" x14ac:dyDescent="0.2"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</row>
    <row r="154" spans="17:32" x14ac:dyDescent="0.2"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</row>
    <row r="155" spans="17:32" x14ac:dyDescent="0.2"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</row>
    <row r="156" spans="17:32" x14ac:dyDescent="0.2"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</row>
    <row r="157" spans="17:32" x14ac:dyDescent="0.2"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</row>
    <row r="158" spans="17:32" x14ac:dyDescent="0.2"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</row>
    <row r="159" spans="17:32" x14ac:dyDescent="0.2"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</row>
    <row r="160" spans="17:32" x14ac:dyDescent="0.2"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</row>
    <row r="161" spans="17:20" x14ac:dyDescent="0.2">
      <c r="Q161" s="1"/>
      <c r="R161" s="1"/>
      <c r="S161" s="1"/>
      <c r="T161" s="1"/>
    </row>
    <row r="162" spans="17:20" x14ac:dyDescent="0.2">
      <c r="Q162" s="1"/>
      <c r="R162" s="1"/>
      <c r="S162" s="1"/>
      <c r="T162" s="1"/>
    </row>
    <row r="163" spans="17:20" x14ac:dyDescent="0.2">
      <c r="Q163" s="1"/>
      <c r="R163" s="1"/>
      <c r="S163" s="1"/>
      <c r="T163" s="1"/>
    </row>
    <row r="164" spans="17:20" x14ac:dyDescent="0.2">
      <c r="Q164" s="1"/>
      <c r="R164" s="1"/>
      <c r="S164" s="1"/>
      <c r="T164" s="1"/>
    </row>
    <row r="165" spans="17:20" x14ac:dyDescent="0.2">
      <c r="Q165" s="1"/>
      <c r="R165" s="1"/>
      <c r="S165" s="1"/>
      <c r="T165" s="1"/>
    </row>
    <row r="166" spans="17:20" x14ac:dyDescent="0.2">
      <c r="Q166" s="1"/>
      <c r="R166" s="1"/>
      <c r="S166" s="1"/>
      <c r="T166" s="1"/>
    </row>
    <row r="167" spans="17:20" x14ac:dyDescent="0.2">
      <c r="Q167" s="1"/>
      <c r="R167" s="1"/>
      <c r="S167" s="1"/>
      <c r="T167" s="1"/>
    </row>
    <row r="168" spans="17:20" x14ac:dyDescent="0.2">
      <c r="Q168" s="1"/>
      <c r="R168" s="1"/>
      <c r="S168" s="1"/>
      <c r="T168" s="1"/>
    </row>
  </sheetData>
  <sheetProtection password="D2E4" sheet="1" objects="1" scenarios="1" selectLockedCells="1"/>
  <mergeCells count="20">
    <mergeCell ref="B47:F47"/>
    <mergeCell ref="E4:F4"/>
    <mergeCell ref="G4:L4"/>
    <mergeCell ref="E6:F6"/>
    <mergeCell ref="G6:L6"/>
    <mergeCell ref="B14:S14"/>
    <mergeCell ref="B15:B16"/>
    <mergeCell ref="C15:C16"/>
    <mergeCell ref="D15:D16"/>
    <mergeCell ref="E15:E16"/>
    <mergeCell ref="F15:F16"/>
    <mergeCell ref="G15:S15"/>
    <mergeCell ref="B11:C11"/>
    <mergeCell ref="F11:G11"/>
    <mergeCell ref="B12:C12"/>
    <mergeCell ref="E2:K2"/>
    <mergeCell ref="B9:C9"/>
    <mergeCell ref="D9:Q9"/>
    <mergeCell ref="B10:C10"/>
    <mergeCell ref="D10:N10"/>
  </mergeCells>
  <phoneticPr fontId="6" type="noConversion"/>
  <pageMargins left="0.48" right="0.52" top="0.31" bottom="0.6" header="0" footer="0"/>
  <pageSetup scale="3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1</xdr:col>
                <xdr:colOff>752475</xdr:colOff>
                <xdr:row>0</xdr:row>
                <xdr:rowOff>123825</xdr:rowOff>
              </from>
              <to>
                <xdr:col>1</xdr:col>
                <xdr:colOff>1657350</xdr:colOff>
                <xdr:row>7</xdr:row>
                <xdr:rowOff>28575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8" r:id="rId6" name="Validar">
          <controlPr defaultSize="0" print="0" autoLine="0" r:id="rId7">
            <anchor moveWithCells="1">
              <from>
                <xdr:col>16</xdr:col>
                <xdr:colOff>857250</xdr:colOff>
                <xdr:row>4</xdr:row>
                <xdr:rowOff>9525</xdr:rowOff>
              </from>
              <to>
                <xdr:col>17</xdr:col>
                <xdr:colOff>923925</xdr:colOff>
                <xdr:row>7</xdr:row>
                <xdr:rowOff>123825</xdr:rowOff>
              </to>
            </anchor>
          </controlPr>
        </control>
      </mc:Choice>
      <mc:Fallback>
        <control shapeId="1028" r:id="rId6" name="Valid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17"/>
  <sheetViews>
    <sheetView showGridLines="0" workbookViewId="0">
      <selection activeCell="E17" sqref="E17"/>
    </sheetView>
  </sheetViews>
  <sheetFormatPr baseColWidth="10" defaultRowHeight="12.75" x14ac:dyDescent="0.2"/>
  <sheetData>
    <row r="2" spans="2:10" ht="34.5" x14ac:dyDescent="0.45">
      <c r="D2" s="84" t="s">
        <v>58</v>
      </c>
      <c r="E2" s="84"/>
      <c r="F2" s="84"/>
      <c r="G2" s="84"/>
      <c r="H2" s="84"/>
      <c r="I2" s="84"/>
    </row>
    <row r="3" spans="2:10" x14ac:dyDescent="0.2">
      <c r="D3" s="86" t="s">
        <v>59</v>
      </c>
      <c r="E3" s="86"/>
      <c r="F3" s="86"/>
      <c r="G3" s="86"/>
      <c r="H3" s="86"/>
      <c r="I3" s="86"/>
    </row>
    <row r="5" spans="2:10" ht="27" x14ac:dyDescent="0.35">
      <c r="C5" s="85" t="s">
        <v>60</v>
      </c>
      <c r="D5" s="85"/>
      <c r="E5" s="85"/>
      <c r="F5" s="85"/>
      <c r="G5" s="85"/>
      <c r="H5" s="85"/>
      <c r="I5" s="85"/>
      <c r="J5" s="85"/>
    </row>
    <row r="6" spans="2:10" ht="12" customHeight="1" x14ac:dyDescent="0.2"/>
    <row r="7" spans="2:10" ht="27" customHeight="1" x14ac:dyDescent="0.35">
      <c r="C7" s="85" t="s">
        <v>63</v>
      </c>
      <c r="D7" s="85"/>
      <c r="E7" s="85"/>
      <c r="F7" s="85"/>
      <c r="G7" s="85"/>
      <c r="H7" s="85"/>
      <c r="I7" s="85"/>
      <c r="J7" s="85"/>
    </row>
    <row r="8" spans="2:10" ht="27.75" customHeight="1" thickBot="1" x14ac:dyDescent="0.25"/>
    <row r="9" spans="2:10" ht="33" customHeight="1" x14ac:dyDescent="0.2">
      <c r="B9" s="75" t="s">
        <v>57</v>
      </c>
      <c r="C9" s="76"/>
      <c r="D9" s="76"/>
      <c r="E9" s="76"/>
      <c r="F9" s="76"/>
      <c r="G9" s="76"/>
      <c r="H9" s="76"/>
      <c r="I9" s="77"/>
    </row>
    <row r="10" spans="2:10" x14ac:dyDescent="0.2">
      <c r="B10" s="78"/>
      <c r="C10" s="79"/>
      <c r="D10" s="79"/>
      <c r="E10" s="79"/>
      <c r="F10" s="79"/>
      <c r="G10" s="79"/>
      <c r="H10" s="79"/>
      <c r="I10" s="80"/>
    </row>
    <row r="11" spans="2:10" x14ac:dyDescent="0.2">
      <c r="B11" s="78"/>
      <c r="C11" s="79"/>
      <c r="D11" s="79"/>
      <c r="E11" s="79"/>
      <c r="F11" s="79"/>
      <c r="G11" s="79"/>
      <c r="H11" s="79"/>
      <c r="I11" s="80"/>
    </row>
    <row r="12" spans="2:10" x14ac:dyDescent="0.2">
      <c r="B12" s="78"/>
      <c r="C12" s="79"/>
      <c r="D12" s="79"/>
      <c r="E12" s="79"/>
      <c r="F12" s="79"/>
      <c r="G12" s="79"/>
      <c r="H12" s="79"/>
      <c r="I12" s="80"/>
    </row>
    <row r="13" spans="2:10" ht="13.5" thickBot="1" x14ac:dyDescent="0.25">
      <c r="B13" s="81"/>
      <c r="C13" s="82"/>
      <c r="D13" s="82"/>
      <c r="E13" s="82"/>
      <c r="F13" s="82"/>
      <c r="G13" s="82"/>
      <c r="H13" s="82"/>
      <c r="I13" s="83"/>
    </row>
    <row r="17" spans="5:5" x14ac:dyDescent="0.2">
      <c r="E17" s="40" t="s">
        <v>69</v>
      </c>
    </row>
  </sheetData>
  <mergeCells count="5">
    <mergeCell ref="B9:I13"/>
    <mergeCell ref="D2:I2"/>
    <mergeCell ref="C5:J5"/>
    <mergeCell ref="C7:J7"/>
    <mergeCell ref="D3:I3"/>
  </mergeCells>
  <phoneticPr fontId="6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2049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D3"/>
  <sheetViews>
    <sheetView topLeftCell="DA1" workbookViewId="0">
      <selection activeCell="DA1" sqref="DA1"/>
    </sheetView>
  </sheetViews>
  <sheetFormatPr baseColWidth="10" defaultRowHeight="12.75" x14ac:dyDescent="0.2"/>
  <cols>
    <col min="1" max="1" width="25.28515625" hidden="1" customWidth="1"/>
    <col min="2" max="2" width="16.140625" hidden="1" customWidth="1"/>
    <col min="3" max="3" width="18.85546875" hidden="1" customWidth="1"/>
    <col min="4" max="104" width="0" hidden="1" customWidth="1"/>
  </cols>
  <sheetData>
    <row r="1" spans="1:56" x14ac:dyDescent="0.2">
      <c r="A1" t="s">
        <v>61</v>
      </c>
      <c r="BA1" t="s">
        <v>61</v>
      </c>
    </row>
    <row r="2" spans="1:56" x14ac:dyDescent="0.2">
      <c r="A2" t="s">
        <v>39</v>
      </c>
      <c r="B2" t="s">
        <v>51</v>
      </c>
      <c r="C2" t="s">
        <v>52</v>
      </c>
      <c r="D2" t="s">
        <v>53</v>
      </c>
      <c r="BA2" t="s">
        <v>39</v>
      </c>
      <c r="BB2" t="s">
        <v>51</v>
      </c>
      <c r="BC2" t="s">
        <v>52</v>
      </c>
      <c r="BD2" t="s">
        <v>53</v>
      </c>
    </row>
    <row r="3" spans="1:56" x14ac:dyDescent="0.2">
      <c r="A3" t="s">
        <v>62</v>
      </c>
    </row>
  </sheetData>
  <phoneticPr fontId="6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LI"/>
  <dimension ref="A1:IV12"/>
  <sheetViews>
    <sheetView workbookViewId="0"/>
  </sheetViews>
  <sheetFormatPr baseColWidth="10" defaultRowHeight="12.75" x14ac:dyDescent="0.2"/>
  <cols>
    <col min="3" max="3" width="19.7109375" bestFit="1" customWidth="1"/>
    <col min="4" max="4" width="4.42578125" customWidth="1"/>
    <col min="5" max="5" width="2.5703125" customWidth="1"/>
  </cols>
  <sheetData>
    <row r="1" spans="1:256" x14ac:dyDescent="0.2">
      <c r="A1" t="s">
        <v>27</v>
      </c>
      <c r="B1" t="s">
        <v>28</v>
      </c>
      <c r="C1" t="s">
        <v>29</v>
      </c>
      <c r="E1">
        <f>COUNTA(A:A)-1</f>
        <v>0</v>
      </c>
    </row>
    <row r="2" spans="1:256" x14ac:dyDescent="0.2">
      <c r="M2" t="s">
        <v>31</v>
      </c>
      <c r="N2" t="s">
        <v>33</v>
      </c>
      <c r="O2" t="s">
        <v>36</v>
      </c>
      <c r="IV2">
        <v>0</v>
      </c>
    </row>
    <row r="3" spans="1:256" x14ac:dyDescent="0.2">
      <c r="M3" t="s">
        <v>31</v>
      </c>
      <c r="N3" t="s">
        <v>34</v>
      </c>
      <c r="O3" t="s">
        <v>36</v>
      </c>
      <c r="IV3">
        <v>0</v>
      </c>
    </row>
    <row r="4" spans="1:256" x14ac:dyDescent="0.2">
      <c r="M4" t="s">
        <v>31</v>
      </c>
      <c r="N4" t="s">
        <v>35</v>
      </c>
      <c r="O4" t="s">
        <v>37</v>
      </c>
    </row>
    <row r="5" spans="1:256" x14ac:dyDescent="0.2">
      <c r="M5" t="s">
        <v>31</v>
      </c>
      <c r="N5" t="s">
        <v>32</v>
      </c>
      <c r="O5" t="s">
        <v>30</v>
      </c>
    </row>
    <row r="12" spans="1:256" x14ac:dyDescent="0.2">
      <c r="I12" s="20"/>
    </row>
  </sheetData>
  <phoneticPr fontId="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Prep</vt:lpstr>
      <vt:lpstr>CEDULA_Q</vt:lpstr>
      <vt:lpstr>SISCONET</vt:lpstr>
      <vt:lpstr>RCedQ</vt:lpstr>
      <vt:lpstr>Val</vt:lpstr>
      <vt:lpstr>CEDULA_Q!Área_de_impresión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Krlos</dc:creator>
  <cp:lastModifiedBy>NOVUTECK1</cp:lastModifiedBy>
  <cp:lastPrinted>2011-10-13T23:07:33Z</cp:lastPrinted>
  <dcterms:created xsi:type="dcterms:W3CDTF">2011-10-10T21:24:03Z</dcterms:created>
  <dcterms:modified xsi:type="dcterms:W3CDTF">2015-01-23T19:04:40Z</dcterms:modified>
</cp:coreProperties>
</file>