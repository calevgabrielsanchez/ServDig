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ano.rodriguez\Documents\Projects\"/>
    </mc:Choice>
  </mc:AlternateContent>
  <workbookProtection workbookAlgorithmName="SHA-512" workbookHashValue="HCq//REImi7g27yWCvKhlOySVLHzLEHoCuSRz95Ga73CGL60MowIwqbx6UidbsoeoPDRxD9adDgMQ37KxgxDxA==" workbookSaltValue="PMiF2T3ptqB6PaAEZvB1MQ==" workbookSpinCount="100000" lockStructure="1"/>
  <bookViews>
    <workbookView xWindow="120" yWindow="30" windowWidth="16515" windowHeight="8760" firstSheet="1" activeTab="1"/>
  </bookViews>
  <sheets>
    <sheet name="Prep" sheetId="7" state="hidden" r:id="rId1"/>
    <sheet name="CEDULA_I" sheetId="6" r:id="rId2"/>
    <sheet name="SISCONET" sheetId="9" state="hidden" r:id="rId3"/>
    <sheet name="RCedI" sheetId="8" state="hidden" r:id="rId4"/>
    <sheet name="Val" sheetId="2" state="hidden" r:id="rId5"/>
  </sheets>
  <functionGroups builtInGroupCount="18"/>
  <definedNames>
    <definedName name="_xlnm.Print_Area" localSheetId="1">CEDULA_I!$A$2:$S$75</definedName>
    <definedName name="_xlnm.Print_Titles" localSheetId="1">CEDULA_I!$1:$17</definedName>
    <definedName name="rbsqd" localSheetId="4">Val!$B$4:$E$245</definedName>
  </definedNames>
  <calcPr calcId="152511"/>
</workbook>
</file>

<file path=xl/calcChain.xml><?xml version="1.0" encoding="utf-8"?>
<calcChain xmlns="http://schemas.openxmlformats.org/spreadsheetml/2006/main">
  <c r="G69" i="6" l="1"/>
  <c r="H69" i="6"/>
  <c r="I69" i="6"/>
  <c r="J69" i="6"/>
  <c r="K69" i="6"/>
  <c r="L69" i="6"/>
  <c r="M69" i="6"/>
  <c r="N69" i="6"/>
  <c r="O69" i="6"/>
  <c r="P69" i="6"/>
  <c r="Q69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IS1" i="6" l="1"/>
  <c r="IR1" i="6"/>
  <c r="IX1" i="6" l="1"/>
  <c r="IW1" i="6"/>
  <c r="IV1" i="6"/>
  <c r="AB7" i="2" l="1"/>
  <c r="AB6" i="2"/>
  <c r="AB5" i="2"/>
  <c r="IT1" i="6"/>
  <c r="IU1" i="6"/>
  <c r="Q1" i="6"/>
  <c r="L11" i="7"/>
  <c r="J1" i="6"/>
  <c r="H1" i="6" s="1"/>
  <c r="E1" i="6"/>
  <c r="D1" i="6"/>
  <c r="C1" i="6"/>
  <c r="B1" i="6"/>
  <c r="T1" i="6"/>
  <c r="R1" i="6"/>
  <c r="S1" i="6"/>
  <c r="M1" i="6"/>
  <c r="K1" i="6" s="1"/>
  <c r="P1" i="6"/>
  <c r="O1" i="6"/>
  <c r="N1" i="6"/>
  <c r="A13" i="7"/>
  <c r="A12" i="7"/>
  <c r="A11" i="7"/>
  <c r="E1" i="2"/>
  <c r="I1" i="6" l="1"/>
  <c r="L1" i="6"/>
</calcChain>
</file>

<file path=xl/connections.xml><?xml version="1.0" encoding="utf-8"?>
<connections xmlns="http://schemas.openxmlformats.org/spreadsheetml/2006/main">
  <connection id="1" name="Conexión" type="4" refreshedVersion="2" background="1" saveData="1">
    <webPr sourceData="1" parsePre="1" consecutive="1" xl2000="1" url="http://dempaj2010.zobyhost.com/rbsqd.php" htmlTables="1">
      <tables count="1">
        <x v="3"/>
      </tables>
    </webPr>
  </connection>
</connections>
</file>

<file path=xl/sharedStrings.xml><?xml version="1.0" encoding="utf-8"?>
<sst xmlns="http://schemas.openxmlformats.org/spreadsheetml/2006/main" count="134" uniqueCount="104">
  <si>
    <t>Instituto Mexicano del Seguro Social</t>
  </si>
  <si>
    <t>AL</t>
  </si>
  <si>
    <t>Delegación:</t>
  </si>
  <si>
    <t>Subdelegación:</t>
  </si>
  <si>
    <t>FOLIO DE CORRECCIÓN:</t>
  </si>
  <si>
    <t>EXCEDENTES DE SALARIOS TOPADOS Y FINIQUITOS</t>
  </si>
  <si>
    <t>PERCEPCIONES INTEGRABLES AL SALARIO BASE DE COTIZACIÓN</t>
  </si>
  <si>
    <t>PERCEPCIONES NO INTEGRABLES AL SALARIO BASE DE COTIZACIÓN</t>
  </si>
  <si>
    <t xml:space="preserve">TOTAL </t>
  </si>
  <si>
    <t>I</t>
  </si>
  <si>
    <t>H</t>
  </si>
  <si>
    <t>C</t>
  </si>
  <si>
    <t>V</t>
  </si>
  <si>
    <t>^([0-9]+|[0-9]*\.[0-9]+)$</t>
  </si>
  <si>
    <t>C21:E36</t>
  </si>
  <si>
    <t>H21:J36</t>
  </si>
  <si>
    <t>B21:B36</t>
  </si>
  <si>
    <t>^([A-Za-z0-9 Ññ]+)$</t>
  </si>
  <si>
    <t>CEDULA_I</t>
  </si>
  <si>
    <t>RP</t>
  </si>
  <si>
    <t>ID_TRABAJADOR</t>
  </si>
  <si>
    <t>PERCEPCION</t>
  </si>
  <si>
    <t>INTEGRA</t>
  </si>
  <si>
    <t>CONCEPTO</t>
  </si>
  <si>
    <t>CEDULA I</t>
  </si>
  <si>
    <t>N</t>
  </si>
  <si>
    <t>Concepto</t>
  </si>
  <si>
    <t>NSS</t>
  </si>
  <si>
    <t>ApPaterno</t>
  </si>
  <si>
    <t>ApMaterno</t>
  </si>
  <si>
    <t>Nombre</t>
  </si>
  <si>
    <t>Delegación</t>
  </si>
  <si>
    <t xml:space="preserve">Subdelegación </t>
  </si>
  <si>
    <t>Nombre o razón</t>
  </si>
  <si>
    <t>Folio de Correccion</t>
  </si>
  <si>
    <t>Ejercicio</t>
  </si>
  <si>
    <t>Per Ini</t>
  </si>
  <si>
    <t>Per Fin</t>
  </si>
  <si>
    <t>EXCEDENTE</t>
  </si>
  <si>
    <t>NOMBRE DEL TRABAJADOR</t>
  </si>
  <si>
    <t>NOMBRE</t>
  </si>
  <si>
    <t>APELLIDO PATERNO</t>
  </si>
  <si>
    <t>APELLIDO MATERNO</t>
  </si>
  <si>
    <t>enc</t>
  </si>
  <si>
    <t>Fijos</t>
  </si>
  <si>
    <t>Sin</t>
  </si>
  <si>
    <t>Variables</t>
  </si>
  <si>
    <t xml:space="preserve">EJERCICIO:   </t>
  </si>
  <si>
    <t>REGISTRO PATRONAL:</t>
  </si>
  <si>
    <t>TOPE</t>
  </si>
  <si>
    <t>SMGDF</t>
  </si>
  <si>
    <t>VECES</t>
  </si>
  <si>
    <r>
      <t>Nota:</t>
    </r>
    <r>
      <rPr>
        <sz val="8"/>
        <rFont val="Arial"/>
        <family val="2"/>
      </rPr>
      <t xml:space="preserve"> Capture las percepciones pagadas al trabajador, acumuladas de forma mensual, de acuerdo a los días devengados en el periodo, por todos los meses de incidencia, según correspondan en la clasificación como integrables o no al salario base de cotización.  En el caso de pagos por finiquito, por el periodo de incidencia.</t>
    </r>
  </si>
  <si>
    <r>
      <t>Anexar</t>
    </r>
    <r>
      <rPr>
        <sz val="8"/>
        <rFont val="Arial"/>
        <family val="2"/>
      </rPr>
      <t xml:space="preserve"> al "Acuse de recibo de la presentación de la corrección patronal" copia de todos los recibos de finiquito.</t>
    </r>
  </si>
  <si>
    <t>TOTAL A</t>
  </si>
  <si>
    <t>TOTAL B</t>
  </si>
  <si>
    <t>EXCEDENTES Y FINIQUITOS 
C-D</t>
  </si>
  <si>
    <t>MES</t>
  </si>
  <si>
    <t xml:space="preserve">Total </t>
  </si>
  <si>
    <t>DIAS_DEVENGADOS</t>
  </si>
  <si>
    <t>EJERCICIO</t>
  </si>
  <si>
    <t>Para el buen funcionamiento de la plantilla es necesario habilitar macros</t>
  </si>
  <si>
    <t>Cédula I</t>
  </si>
  <si>
    <t>Excedentes de salarios topados</t>
  </si>
  <si>
    <t>SISTEMA DE CORRECCIÓN EN LÍNEA</t>
  </si>
  <si>
    <t>Cedula H</t>
  </si>
  <si>
    <t>[-]</t>
  </si>
  <si>
    <t>SISCONET</t>
  </si>
  <si>
    <t>A</t>
  </si>
  <si>
    <t>B</t>
  </si>
  <si>
    <t>Zona:</t>
  </si>
  <si>
    <t>B2010</t>
  </si>
  <si>
    <t>A1992</t>
  </si>
  <si>
    <t>A1993</t>
  </si>
  <si>
    <t>A1994</t>
  </si>
  <si>
    <t>A1995</t>
  </si>
  <si>
    <t>A1996</t>
  </si>
  <si>
    <t>A1997</t>
  </si>
  <si>
    <t>A1998</t>
  </si>
  <si>
    <t>A1999</t>
  </si>
  <si>
    <t>A2000</t>
  </si>
  <si>
    <t>A2001</t>
  </si>
  <si>
    <t>A2002</t>
  </si>
  <si>
    <t>A2003</t>
  </si>
  <si>
    <t>A2004</t>
  </si>
  <si>
    <t>A2005</t>
  </si>
  <si>
    <t>A2006</t>
  </si>
  <si>
    <t>A2007</t>
  </si>
  <si>
    <t>A2008</t>
  </si>
  <si>
    <t>A2009</t>
  </si>
  <si>
    <t>A2010</t>
  </si>
  <si>
    <t>A2011</t>
  </si>
  <si>
    <t>A2012</t>
  </si>
  <si>
    <t>NOMBRE O RAZÓN SOCIAL:</t>
  </si>
  <si>
    <t>PERÍODO QUE REGULARIZA:</t>
  </si>
  <si>
    <t>PERÍODO DEL:</t>
  </si>
  <si>
    <t>DÍAS DEVENGADOS</t>
  </si>
  <si>
    <t>PERCEPCIÓN                 DEL PERÍODO 
C = A + B</t>
  </si>
  <si>
    <t>PERCEPCIÓN EXENTA
D=25 VSMGDF</t>
  </si>
  <si>
    <t>A2013</t>
  </si>
  <si>
    <t>A2014</t>
  </si>
  <si>
    <t>V 2.58</t>
  </si>
  <si>
    <t>A2015</t>
  </si>
  <si>
    <t>A2016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</si>
</sst>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</numFmts>
  <fonts count="1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7"/>
      <name val="Arial"/>
      <family val="2"/>
    </font>
    <font>
      <sz val="10"/>
      <color indexed="8"/>
      <name val="Calibri"/>
      <family val="2"/>
    </font>
    <font>
      <sz val="10"/>
      <name val="Arial"/>
      <family val="2"/>
    </font>
    <font>
      <sz val="11"/>
      <name val="Arial"/>
      <family val="2"/>
    </font>
    <font>
      <b/>
      <sz val="8"/>
      <name val="Arial"/>
      <family val="2"/>
    </font>
    <font>
      <b/>
      <sz val="10"/>
      <color indexed="8"/>
      <name val="Calibri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b/>
      <sz val="18"/>
      <name val="Arial"/>
      <family val="2"/>
    </font>
    <font>
      <sz val="28"/>
      <name val="Arial"/>
      <family val="2"/>
    </font>
    <font>
      <sz val="22"/>
      <name val="Arial"/>
      <family val="2"/>
    </font>
    <font>
      <sz val="26"/>
      <color indexed="10"/>
      <name val="Arial"/>
      <family val="2"/>
    </font>
    <font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166" fontId="1" fillId="0" borderId="0" applyFont="0" applyFill="0" applyBorder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0" xfId="0" applyBorder="1" applyAlignment="1"/>
    <xf numFmtId="0" fontId="4" fillId="0" borderId="1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0" fillId="0" borderId="0" xfId="0" applyFill="1" applyBorder="1"/>
    <xf numFmtId="0" fontId="0" fillId="0" borderId="2" xfId="0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0" fontId="5" fillId="0" borderId="4" xfId="0" applyFont="1" applyFill="1" applyBorder="1"/>
    <xf numFmtId="0" fontId="0" fillId="0" borderId="0" xfId="0" quotePrefix="1"/>
    <xf numFmtId="14" fontId="0" fillId="0" borderId="0" xfId="0" applyNumberFormat="1"/>
    <xf numFmtId="0" fontId="3" fillId="0" borderId="0" xfId="0" applyFont="1" applyBorder="1" applyAlignment="1">
      <alignment horizontal="right"/>
    </xf>
    <xf numFmtId="0" fontId="13" fillId="0" borderId="5" xfId="0" applyFont="1" applyBorder="1"/>
    <xf numFmtId="0" fontId="13" fillId="0" borderId="0" xfId="0" applyFont="1"/>
    <xf numFmtId="0" fontId="12" fillId="2" borderId="6" xfId="0" applyFont="1" applyFill="1" applyBorder="1" applyAlignment="1">
      <alignment vertical="center"/>
    </xf>
    <xf numFmtId="0" fontId="12" fillId="2" borderId="7" xfId="0" applyFont="1" applyFill="1" applyBorder="1" applyAlignment="1">
      <alignment vertical="center"/>
    </xf>
    <xf numFmtId="0" fontId="12" fillId="2" borderId="8" xfId="0" applyFont="1" applyFill="1" applyBorder="1" applyAlignment="1">
      <alignment vertical="center"/>
    </xf>
    <xf numFmtId="0" fontId="4" fillId="0" borderId="9" xfId="0" applyFont="1" applyBorder="1" applyAlignment="1" applyProtection="1">
      <alignment horizontal="center"/>
      <protection hidden="1"/>
    </xf>
    <xf numFmtId="14" fontId="4" fillId="0" borderId="10" xfId="0" applyNumberFormat="1" applyFont="1" applyBorder="1" applyAlignment="1" applyProtection="1">
      <alignment horizontal="center"/>
      <protection hidden="1"/>
    </xf>
    <xf numFmtId="0" fontId="10" fillId="0" borderId="5" xfId="0" applyFont="1" applyFill="1" applyBorder="1" applyProtection="1"/>
    <xf numFmtId="0" fontId="10" fillId="0" borderId="0" xfId="0" applyFont="1" applyFill="1" applyBorder="1" applyProtection="1"/>
    <xf numFmtId="0" fontId="6" fillId="0" borderId="0" xfId="0" applyFont="1" applyFill="1" applyBorder="1" applyAlignment="1" applyProtection="1">
      <alignment horizontal="left"/>
    </xf>
    <xf numFmtId="0" fontId="10" fillId="0" borderId="11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left"/>
    </xf>
    <xf numFmtId="0" fontId="13" fillId="0" borderId="0" xfId="0" applyFont="1" applyBorder="1"/>
    <xf numFmtId="1" fontId="8" fillId="0" borderId="12" xfId="0" applyNumberFormat="1" applyFont="1" applyFill="1" applyBorder="1" applyAlignment="1" applyProtection="1">
      <alignment vertical="distributed"/>
    </xf>
    <xf numFmtId="1" fontId="8" fillId="0" borderId="13" xfId="0" applyNumberFormat="1" applyFont="1" applyBorder="1" applyAlignment="1" applyProtection="1">
      <alignment vertical="distributed"/>
    </xf>
    <xf numFmtId="1" fontId="8" fillId="0" borderId="13" xfId="0" applyNumberFormat="1" applyFont="1" applyBorder="1" applyAlignment="1" applyProtection="1">
      <alignment vertical="distributed" wrapText="1"/>
    </xf>
    <xf numFmtId="1" fontId="8" fillId="0" borderId="13" xfId="1" applyNumberFormat="1" applyFont="1" applyFill="1" applyBorder="1" applyAlignment="1" applyProtection="1">
      <alignment vertical="distributed"/>
    </xf>
    <xf numFmtId="1" fontId="8" fillId="0" borderId="13" xfId="0" applyNumberFormat="1" applyFont="1" applyFill="1" applyBorder="1" applyAlignment="1" applyProtection="1">
      <alignment vertical="distributed"/>
    </xf>
    <xf numFmtId="1" fontId="8" fillId="0" borderId="14" xfId="0" applyNumberFormat="1" applyFont="1" applyFill="1" applyBorder="1" applyAlignment="1" applyProtection="1">
      <alignment vertical="distributed"/>
    </xf>
    <xf numFmtId="167" fontId="11" fillId="0" borderId="1" xfId="0" applyNumberFormat="1" applyFont="1" applyFill="1" applyBorder="1" applyAlignment="1" applyProtection="1">
      <alignment vertical="distributed"/>
      <protection hidden="1"/>
    </xf>
    <xf numFmtId="167" fontId="11" fillId="2" borderId="1" xfId="0" applyNumberFormat="1" applyFont="1" applyFill="1" applyBorder="1" applyAlignment="1" applyProtection="1">
      <alignment vertical="distributed"/>
      <protection hidden="1"/>
    </xf>
    <xf numFmtId="0" fontId="3" fillId="0" borderId="0" xfId="0" applyFont="1"/>
    <xf numFmtId="0" fontId="8" fillId="0" borderId="15" xfId="0" applyNumberFormat="1" applyFont="1" applyFill="1" applyBorder="1" applyAlignment="1" applyProtection="1">
      <alignment horizontal="left" vertical="distributed"/>
    </xf>
    <xf numFmtId="0" fontId="8" fillId="0" borderId="12" xfId="0" applyNumberFormat="1" applyFont="1" applyFill="1" applyBorder="1" applyAlignment="1" applyProtection="1">
      <alignment horizontal="left" vertical="distributed"/>
    </xf>
    <xf numFmtId="0" fontId="8" fillId="0" borderId="16" xfId="0" applyNumberFormat="1" applyFont="1" applyBorder="1" applyAlignment="1" applyProtection="1">
      <alignment horizontal="left" vertical="distributed"/>
    </xf>
    <xf numFmtId="0" fontId="8" fillId="0" borderId="13" xfId="0" applyNumberFormat="1" applyFont="1" applyBorder="1" applyAlignment="1" applyProtection="1">
      <alignment horizontal="left" vertical="distributed"/>
    </xf>
    <xf numFmtId="0" fontId="8" fillId="0" borderId="16" xfId="0" applyNumberFormat="1" applyFont="1" applyBorder="1" applyAlignment="1" applyProtection="1">
      <alignment horizontal="left" vertical="distributed" wrapText="1"/>
    </xf>
    <xf numFmtId="0" fontId="8" fillId="0" borderId="13" xfId="0" applyNumberFormat="1" applyFont="1" applyBorder="1" applyAlignment="1" applyProtection="1">
      <alignment horizontal="left" vertical="distributed" wrapText="1"/>
    </xf>
    <xf numFmtId="0" fontId="8" fillId="0" borderId="16" xfId="1" applyNumberFormat="1" applyFont="1" applyFill="1" applyBorder="1" applyAlignment="1" applyProtection="1">
      <alignment horizontal="left" vertical="distributed"/>
    </xf>
    <xf numFmtId="0" fontId="8" fillId="0" borderId="13" xfId="1" applyNumberFormat="1" applyFont="1" applyFill="1" applyBorder="1" applyAlignment="1" applyProtection="1">
      <alignment horizontal="left" vertical="distributed"/>
    </xf>
    <xf numFmtId="0" fontId="8" fillId="0" borderId="16" xfId="0" applyNumberFormat="1" applyFont="1" applyFill="1" applyBorder="1" applyAlignment="1" applyProtection="1">
      <alignment horizontal="left" vertical="distributed"/>
    </xf>
    <xf numFmtId="0" fontId="8" fillId="0" borderId="13" xfId="0" applyNumberFormat="1" applyFont="1" applyFill="1" applyBorder="1" applyAlignment="1" applyProtection="1">
      <alignment horizontal="left" vertical="distributed"/>
    </xf>
    <xf numFmtId="0" fontId="8" fillId="0" borderId="17" xfId="0" applyNumberFormat="1" applyFont="1" applyFill="1" applyBorder="1" applyAlignment="1" applyProtection="1">
      <alignment horizontal="left" vertical="distributed"/>
    </xf>
    <xf numFmtId="0" fontId="8" fillId="0" borderId="14" xfId="0" applyNumberFormat="1" applyFont="1" applyFill="1" applyBorder="1" applyAlignment="1" applyProtection="1">
      <alignment horizontal="left" vertical="distributed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1" fillId="0" borderId="0" xfId="0" applyFont="1"/>
    <xf numFmtId="164" fontId="8" fillId="0" borderId="18" xfId="1" applyNumberFormat="1" applyFont="1" applyFill="1" applyBorder="1" applyAlignment="1" applyProtection="1">
      <alignment horizontal="right" vertical="distributed"/>
      <protection locked="0"/>
    </xf>
    <xf numFmtId="164" fontId="8" fillId="0" borderId="18" xfId="0" applyNumberFormat="1" applyFont="1" applyFill="1" applyBorder="1" applyAlignment="1" applyProtection="1">
      <alignment horizontal="right" vertical="distributed"/>
      <protection locked="0"/>
    </xf>
    <xf numFmtId="164" fontId="8" fillId="0" borderId="18" xfId="0" applyNumberFormat="1" applyFont="1" applyFill="1" applyBorder="1" applyAlignment="1" applyProtection="1">
      <alignment horizontal="right" vertical="distributed"/>
      <protection hidden="1"/>
    </xf>
    <xf numFmtId="164" fontId="8" fillId="0" borderId="19" xfId="0" applyNumberFormat="1" applyFont="1" applyFill="1" applyBorder="1" applyAlignment="1" applyProtection="1">
      <alignment horizontal="right" vertical="distributed"/>
      <protection hidden="1"/>
    </xf>
    <xf numFmtId="164" fontId="8" fillId="0" borderId="20" xfId="0" applyNumberFormat="1" applyFont="1" applyFill="1" applyBorder="1" applyAlignment="1" applyProtection="1">
      <alignment horizontal="right" vertical="distributed"/>
      <protection hidden="1"/>
    </xf>
    <xf numFmtId="0" fontId="0" fillId="0" borderId="0" xfId="0" applyAlignment="1">
      <alignment horizontal="right"/>
    </xf>
    <xf numFmtId="164" fontId="7" fillId="0" borderId="19" xfId="1" applyNumberFormat="1" applyFont="1" applyBorder="1" applyAlignment="1" applyProtection="1">
      <alignment horizontal="right" vertical="distributed"/>
      <protection locked="0"/>
    </xf>
    <xf numFmtId="164" fontId="7" fillId="0" borderId="19" xfId="1" applyNumberFormat="1" applyFont="1" applyFill="1" applyBorder="1" applyAlignment="1" applyProtection="1">
      <alignment horizontal="right" vertical="distributed"/>
      <protection hidden="1"/>
    </xf>
    <xf numFmtId="164" fontId="8" fillId="0" borderId="21" xfId="0" applyNumberFormat="1" applyFont="1" applyFill="1" applyBorder="1" applyAlignment="1" applyProtection="1">
      <alignment horizontal="right" vertical="distributed"/>
      <protection hidden="1"/>
    </xf>
    <xf numFmtId="164" fontId="8" fillId="0" borderId="19" xfId="1" applyNumberFormat="1" applyFont="1" applyFill="1" applyBorder="1" applyAlignment="1" applyProtection="1">
      <alignment horizontal="right" vertical="distributed"/>
      <protection locked="0"/>
    </xf>
    <xf numFmtId="164" fontId="8" fillId="0" borderId="19" xfId="1" applyNumberFormat="1" applyFont="1" applyFill="1" applyBorder="1" applyAlignment="1" applyProtection="1">
      <alignment horizontal="right" vertical="distributed"/>
      <protection hidden="1"/>
    </xf>
    <xf numFmtId="164" fontId="8" fillId="0" borderId="19" xfId="0" applyNumberFormat="1" applyFont="1" applyFill="1" applyBorder="1" applyAlignment="1" applyProtection="1">
      <alignment horizontal="right" vertical="distributed"/>
      <protection locked="0"/>
    </xf>
    <xf numFmtId="164" fontId="8" fillId="0" borderId="19" xfId="0" applyNumberFormat="1" applyFont="1" applyBorder="1" applyAlignment="1" applyProtection="1">
      <alignment horizontal="right" vertical="distributed" wrapText="1"/>
      <protection locked="0"/>
    </xf>
    <xf numFmtId="164" fontId="8" fillId="0" borderId="19" xfId="0" applyNumberFormat="1" applyFont="1" applyBorder="1" applyAlignment="1" applyProtection="1">
      <alignment horizontal="right" vertical="distributed"/>
      <protection locked="0"/>
    </xf>
    <xf numFmtId="164" fontId="8" fillId="0" borderId="22" xfId="0" applyNumberFormat="1" applyFont="1" applyFill="1" applyBorder="1" applyAlignment="1" applyProtection="1">
      <alignment horizontal="right" vertical="distributed"/>
      <protection locked="0"/>
    </xf>
    <xf numFmtId="164" fontId="8" fillId="0" borderId="22" xfId="0" applyNumberFormat="1" applyFont="1" applyFill="1" applyBorder="1" applyAlignment="1" applyProtection="1">
      <alignment horizontal="right" vertical="distributed"/>
      <protection hidden="1"/>
    </xf>
    <xf numFmtId="164" fontId="7" fillId="0" borderId="22" xfId="1" applyNumberFormat="1" applyFont="1" applyFill="1" applyBorder="1" applyAlignment="1" applyProtection="1">
      <alignment horizontal="right" vertical="distributed"/>
      <protection hidden="1"/>
    </xf>
    <xf numFmtId="164" fontId="8" fillId="0" borderId="23" xfId="0" applyNumberFormat="1" applyFont="1" applyFill="1" applyBorder="1" applyAlignment="1" applyProtection="1">
      <alignment horizontal="right" vertical="distributed"/>
      <protection hidden="1"/>
    </xf>
    <xf numFmtId="0" fontId="0" fillId="4" borderId="0" xfId="0" applyFill="1"/>
    <xf numFmtId="0" fontId="12" fillId="0" borderId="0" xfId="0" applyFont="1" applyBorder="1" applyAlignment="1"/>
    <xf numFmtId="0" fontId="3" fillId="0" borderId="0" xfId="0" applyFont="1" applyBorder="1" applyAlignment="1">
      <alignment vertical="center"/>
    </xf>
    <xf numFmtId="0" fontId="18" fillId="0" borderId="0" xfId="0" applyFont="1" applyBorder="1" applyProtection="1">
      <protection hidden="1"/>
    </xf>
    <xf numFmtId="0" fontId="18" fillId="0" borderId="0" xfId="0" applyFont="1" applyFill="1" applyBorder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/>
    <xf numFmtId="0" fontId="4" fillId="3" borderId="0" xfId="0" applyFont="1" applyFill="1" applyBorder="1" applyAlignment="1" applyProtection="1">
      <alignment horizontal="center"/>
      <protection hidden="1"/>
    </xf>
    <xf numFmtId="0" fontId="14" fillId="0" borderId="0" xfId="0" applyFont="1" applyBorder="1" applyAlignment="1">
      <alignment horizontal="center"/>
    </xf>
    <xf numFmtId="0" fontId="4" fillId="0" borderId="9" xfId="0" applyFont="1" applyFill="1" applyBorder="1" applyAlignment="1" applyProtection="1">
      <alignment horizontal="center"/>
      <protection hidden="1"/>
    </xf>
    <xf numFmtId="0" fontId="4" fillId="0" borderId="9" xfId="0" applyFont="1" applyBorder="1" applyAlignment="1" applyProtection="1">
      <alignment horizontal="center"/>
      <protection hidden="1"/>
    </xf>
    <xf numFmtId="0" fontId="4" fillId="0" borderId="9" xfId="0" applyFont="1" applyBorder="1" applyAlignment="1" applyProtection="1">
      <alignment horizontal="left"/>
      <protection hidden="1"/>
    </xf>
    <xf numFmtId="0" fontId="12" fillId="2" borderId="24" xfId="0" applyFont="1" applyFill="1" applyBorder="1" applyAlignment="1">
      <alignment horizontal="center" vertical="center" wrapText="1"/>
    </xf>
    <xf numFmtId="0" fontId="12" fillId="2" borderId="25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3" fillId="0" borderId="27" xfId="0" applyFont="1" applyBorder="1" applyAlignment="1">
      <alignment horizontal="center"/>
    </xf>
    <xf numFmtId="0" fontId="4" fillId="0" borderId="10" xfId="0" applyFont="1" applyBorder="1" applyAlignment="1" applyProtection="1">
      <alignment horizontal="left"/>
      <protection hidden="1"/>
    </xf>
    <xf numFmtId="49" fontId="4" fillId="0" borderId="9" xfId="0" applyNumberFormat="1" applyFont="1" applyBorder="1" applyAlignment="1">
      <alignment horizontal="left"/>
    </xf>
    <xf numFmtId="0" fontId="12" fillId="2" borderId="6" xfId="0" applyFont="1" applyFill="1" applyBorder="1" applyAlignment="1" applyProtection="1">
      <alignment horizontal="center" vertical="center" wrapText="1"/>
    </xf>
    <xf numFmtId="0" fontId="12" fillId="2" borderId="7" xfId="0" applyFont="1" applyFill="1" applyBorder="1" applyAlignment="1" applyProtection="1">
      <alignment horizontal="center" vertical="center" wrapText="1"/>
    </xf>
    <xf numFmtId="0" fontId="12" fillId="2" borderId="8" xfId="0" applyFont="1" applyFill="1" applyBorder="1" applyAlignment="1" applyProtection="1">
      <alignment horizontal="center" vertical="center" wrapText="1"/>
    </xf>
    <xf numFmtId="0" fontId="12" fillId="2" borderId="24" xfId="0" applyFont="1" applyFill="1" applyBorder="1" applyAlignment="1" applyProtection="1">
      <alignment horizontal="center" vertical="center" wrapText="1"/>
    </xf>
    <xf numFmtId="0" fontId="12" fillId="2" borderId="25" xfId="0" applyFont="1" applyFill="1" applyBorder="1" applyAlignment="1" applyProtection="1">
      <alignment horizontal="center" vertical="center" wrapText="1"/>
    </xf>
    <xf numFmtId="0" fontId="12" fillId="2" borderId="26" xfId="0" applyFont="1" applyFill="1" applyBorder="1" applyAlignment="1" applyProtection="1">
      <alignment horizontal="center" vertical="center" wrapText="1"/>
    </xf>
    <xf numFmtId="0" fontId="12" fillId="2" borderId="6" xfId="0" applyFont="1" applyFill="1" applyBorder="1" applyAlignment="1" applyProtection="1">
      <alignment vertical="center"/>
      <protection hidden="1"/>
    </xf>
    <xf numFmtId="0" fontId="12" fillId="2" borderId="7" xfId="0" applyFont="1" applyFill="1" applyBorder="1" applyAlignment="1" applyProtection="1">
      <alignment vertical="center"/>
      <protection hidden="1"/>
    </xf>
    <xf numFmtId="0" fontId="12" fillId="2" borderId="8" xfId="0" applyFont="1" applyFill="1" applyBorder="1" applyAlignment="1" applyProtection="1">
      <alignment vertical="center"/>
      <protection hidden="1"/>
    </xf>
    <xf numFmtId="0" fontId="12" fillId="2" borderId="6" xfId="0" applyFont="1" applyFill="1" applyBorder="1" applyAlignment="1">
      <alignment vertical="center"/>
    </xf>
    <xf numFmtId="0" fontId="12" fillId="2" borderId="7" xfId="0" applyFont="1" applyFill="1" applyBorder="1" applyAlignment="1">
      <alignment vertical="center"/>
    </xf>
    <xf numFmtId="0" fontId="12" fillId="2" borderId="8" xfId="0" applyFont="1" applyFill="1" applyBorder="1" applyAlignment="1">
      <alignment vertical="center"/>
    </xf>
    <xf numFmtId="0" fontId="3" fillId="0" borderId="6" xfId="0" applyFont="1" applyFill="1" applyBorder="1" applyAlignment="1" applyProtection="1">
      <alignment horizontal="right" vertical="distributed"/>
    </xf>
    <xf numFmtId="0" fontId="3" fillId="0" borderId="7" xfId="0" applyFont="1" applyFill="1" applyBorder="1" applyAlignment="1" applyProtection="1">
      <alignment horizontal="right" vertical="distributed"/>
    </xf>
    <xf numFmtId="0" fontId="3" fillId="0" borderId="8" xfId="0" applyFont="1" applyFill="1" applyBorder="1" applyAlignment="1" applyProtection="1">
      <alignment horizontal="right" vertical="distributed"/>
    </xf>
    <xf numFmtId="0" fontId="17" fillId="0" borderId="28" xfId="0" applyFont="1" applyBorder="1" applyAlignment="1">
      <alignment horizontal="center" vertical="center" wrapText="1"/>
    </xf>
    <xf numFmtId="0" fontId="17" fillId="0" borderId="29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2133600</xdr:colOff>
          <xdr:row>1</xdr:row>
          <xdr:rowOff>295275</xdr:rowOff>
        </xdr:from>
        <xdr:to>
          <xdr:col>2</xdr:col>
          <xdr:colOff>1057275</xdr:colOff>
          <xdr:row>7</xdr:row>
          <xdr:rowOff>104775</xdr:rowOff>
        </xdr:to>
        <xdr:sp macro="" textlink="">
          <xdr:nvSpPr>
            <xdr:cNvPr id="3075" name="Image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866775</xdr:colOff>
          <xdr:row>3</xdr:row>
          <xdr:rowOff>66675</xdr:rowOff>
        </xdr:from>
        <xdr:to>
          <xdr:col>17</xdr:col>
          <xdr:colOff>1209675</xdr:colOff>
          <xdr:row>6</xdr:row>
          <xdr:rowOff>95250</xdr:rowOff>
        </xdr:to>
        <xdr:sp macro="" textlink="">
          <xdr:nvSpPr>
            <xdr:cNvPr id="3076" name="Valida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16</xdr:col>
      <xdr:colOff>883228</xdr:colOff>
      <xdr:row>9</xdr:row>
      <xdr:rowOff>-1</xdr:rowOff>
    </xdr:from>
    <xdr:to>
      <xdr:col>18</xdr:col>
      <xdr:colOff>399184</xdr:colOff>
      <xdr:row>11</xdr:row>
      <xdr:rowOff>115165</xdr:rowOff>
    </xdr:to>
    <xdr:pic macro="[0]!generartxtCedulaI"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0773" y="1679863"/>
          <a:ext cx="2390775" cy="7039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</xdr:row>
          <xdr:rowOff>66675</xdr:rowOff>
        </xdr:from>
        <xdr:to>
          <xdr:col>2</xdr:col>
          <xdr:colOff>180975</xdr:colOff>
          <xdr:row>7</xdr:row>
          <xdr:rowOff>0</xdr:rowOff>
        </xdr:to>
        <xdr:sp macro="" textlink="">
          <xdr:nvSpPr>
            <xdr:cNvPr id="4097" name="Image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rbsqd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U30"/>
  <sheetViews>
    <sheetView topLeftCell="C1" workbookViewId="0">
      <selection activeCell="I6" sqref="I6"/>
    </sheetView>
  </sheetViews>
  <sheetFormatPr defaultColWidth="11.42578125" defaultRowHeight="12.75" x14ac:dyDescent="0.2"/>
  <cols>
    <col min="14" max="14" width="17.28515625" customWidth="1"/>
    <col min="15" max="15" width="12.28515625" bestFit="1" customWidth="1"/>
    <col min="16" max="16" width="16.140625" bestFit="1" customWidth="1"/>
    <col min="17" max="17" width="14.42578125" customWidth="1"/>
    <col min="249" max="255" width="0" hidden="1" customWidth="1"/>
  </cols>
  <sheetData>
    <row r="1" spans="1:255" x14ac:dyDescent="0.2">
      <c r="A1" t="s">
        <v>24</v>
      </c>
      <c r="J1" t="s">
        <v>12</v>
      </c>
    </row>
    <row r="2" spans="1:255" x14ac:dyDescent="0.2">
      <c r="A2" t="s">
        <v>25</v>
      </c>
      <c r="B2" t="s">
        <v>19</v>
      </c>
      <c r="C2" t="s">
        <v>26</v>
      </c>
      <c r="E2" t="s">
        <v>44</v>
      </c>
      <c r="F2" t="s">
        <v>45</v>
      </c>
      <c r="G2" t="s">
        <v>46</v>
      </c>
      <c r="O2" t="s">
        <v>19</v>
      </c>
      <c r="P2" t="s">
        <v>20</v>
      </c>
      <c r="Q2" t="s">
        <v>27</v>
      </c>
      <c r="R2" t="s">
        <v>28</v>
      </c>
      <c r="S2" t="s">
        <v>29</v>
      </c>
      <c r="T2" t="s">
        <v>30</v>
      </c>
      <c r="IO2" t="s">
        <v>68</v>
      </c>
      <c r="IP2" t="s">
        <v>35</v>
      </c>
      <c r="IQ2" t="s">
        <v>68</v>
      </c>
      <c r="IR2" t="s">
        <v>69</v>
      </c>
      <c r="IS2" t="s">
        <v>11</v>
      </c>
      <c r="IT2" t="s">
        <v>71</v>
      </c>
      <c r="IU2" t="s">
        <v>68</v>
      </c>
    </row>
    <row r="3" spans="1:255" x14ac:dyDescent="0.2">
      <c r="A3">
        <v>-1</v>
      </c>
      <c r="K3" t="s">
        <v>31</v>
      </c>
      <c r="IO3" t="s">
        <v>72</v>
      </c>
      <c r="IP3" s="50">
        <v>1992</v>
      </c>
      <c r="IQ3" s="51">
        <v>13.33</v>
      </c>
      <c r="IR3" s="51">
        <v>12.32</v>
      </c>
      <c r="IS3" s="51">
        <v>11.115</v>
      </c>
      <c r="IT3">
        <v>13.33</v>
      </c>
      <c r="IU3" s="51"/>
    </row>
    <row r="4" spans="1:255" x14ac:dyDescent="0.2">
      <c r="A4">
        <v>0</v>
      </c>
      <c r="B4" s="13"/>
      <c r="K4" t="s">
        <v>32</v>
      </c>
      <c r="O4" s="13"/>
      <c r="IO4" t="s">
        <v>73</v>
      </c>
      <c r="IP4" s="50">
        <v>1993</v>
      </c>
      <c r="IQ4" s="51">
        <v>14.27</v>
      </c>
      <c r="IR4" s="51">
        <v>13.26</v>
      </c>
      <c r="IS4" s="51">
        <v>12.05</v>
      </c>
      <c r="IT4">
        <v>14.27</v>
      </c>
      <c r="IU4" s="51"/>
    </row>
    <row r="5" spans="1:255" x14ac:dyDescent="0.2">
      <c r="A5">
        <v>0</v>
      </c>
      <c r="K5" t="s">
        <v>33</v>
      </c>
      <c r="IO5" t="s">
        <v>74</v>
      </c>
      <c r="IP5" s="50">
        <v>1994</v>
      </c>
      <c r="IQ5" s="51">
        <v>15.27</v>
      </c>
      <c r="IR5" s="51">
        <v>14.19</v>
      </c>
      <c r="IS5" s="51">
        <v>12.89</v>
      </c>
      <c r="IT5">
        <v>15.27</v>
      </c>
      <c r="IU5" s="51"/>
    </row>
    <row r="6" spans="1:255" x14ac:dyDescent="0.2">
      <c r="K6" t="s">
        <v>34</v>
      </c>
      <c r="IO6" t="s">
        <v>75</v>
      </c>
      <c r="IP6" s="50">
        <v>1995</v>
      </c>
      <c r="IQ6" s="51">
        <v>20.149999999999999</v>
      </c>
      <c r="IR6" s="51">
        <v>18.7</v>
      </c>
      <c r="IS6" s="51">
        <v>17</v>
      </c>
      <c r="IT6">
        <v>20.149999999999999</v>
      </c>
      <c r="IU6" s="51"/>
    </row>
    <row r="7" spans="1:255" x14ac:dyDescent="0.2">
      <c r="K7" t="s">
        <v>35</v>
      </c>
      <c r="L7" s="50"/>
      <c r="IO7" t="s">
        <v>76</v>
      </c>
      <c r="IP7" s="50">
        <v>1996</v>
      </c>
      <c r="IQ7" s="51">
        <v>22.6</v>
      </c>
      <c r="IR7" s="51">
        <v>20.95</v>
      </c>
      <c r="IS7" s="51">
        <v>19.05</v>
      </c>
      <c r="IT7">
        <v>22.6</v>
      </c>
      <c r="IU7" s="51"/>
    </row>
    <row r="8" spans="1:255" x14ac:dyDescent="0.2">
      <c r="K8" t="s">
        <v>36</v>
      </c>
      <c r="L8" s="14"/>
      <c r="IO8" t="s">
        <v>77</v>
      </c>
      <c r="IP8" s="50">
        <v>1997</v>
      </c>
      <c r="IQ8" s="51">
        <v>26.45</v>
      </c>
      <c r="IR8" s="51">
        <v>24.5</v>
      </c>
      <c r="IS8" s="51">
        <v>22.5</v>
      </c>
      <c r="IT8">
        <v>26.45</v>
      </c>
      <c r="IU8" s="51"/>
    </row>
    <row r="9" spans="1:255" x14ac:dyDescent="0.2">
      <c r="K9" t="s">
        <v>37</v>
      </c>
      <c r="L9" s="14"/>
      <c r="IO9" t="s">
        <v>78</v>
      </c>
      <c r="IP9" s="50">
        <v>1998</v>
      </c>
      <c r="IQ9" s="51">
        <v>30.2</v>
      </c>
      <c r="IR9" s="51">
        <v>28</v>
      </c>
      <c r="IS9" s="51">
        <v>26.05</v>
      </c>
      <c r="IT9">
        <v>30.2</v>
      </c>
      <c r="IU9" s="51"/>
    </row>
    <row r="10" spans="1:255" x14ac:dyDescent="0.2">
      <c r="K10" t="s">
        <v>19</v>
      </c>
      <c r="IO10" t="s">
        <v>79</v>
      </c>
      <c r="IP10" s="50">
        <v>1999</v>
      </c>
      <c r="IQ10" s="51">
        <v>34.450000000000003</v>
      </c>
      <c r="IR10" s="51">
        <v>31.9</v>
      </c>
      <c r="IS10" s="51">
        <v>29.7</v>
      </c>
      <c r="IT10">
        <v>34.450000000000003</v>
      </c>
      <c r="IU10" s="51"/>
    </row>
    <row r="11" spans="1:255" x14ac:dyDescent="0.2">
      <c r="A11">
        <f>COUNTA(E:E)-1</f>
        <v>0</v>
      </c>
      <c r="K11" t="s">
        <v>49</v>
      </c>
      <c r="L11">
        <f>L12*L13</f>
        <v>0</v>
      </c>
      <c r="IO11" t="s">
        <v>80</v>
      </c>
      <c r="IP11" s="50">
        <v>2000</v>
      </c>
      <c r="IQ11" s="51">
        <v>37.9</v>
      </c>
      <c r="IR11" s="51">
        <v>35.1</v>
      </c>
      <c r="IS11" s="51">
        <v>32.700000000000003</v>
      </c>
      <c r="IT11">
        <v>37.9</v>
      </c>
      <c r="IU11" s="51"/>
    </row>
    <row r="12" spans="1:255" x14ac:dyDescent="0.2">
      <c r="A12">
        <f>COUNTA(F:F)-1</f>
        <v>0</v>
      </c>
      <c r="K12" t="s">
        <v>50</v>
      </c>
      <c r="L12" s="52"/>
      <c r="IO12" t="s">
        <v>81</v>
      </c>
      <c r="IP12" s="50">
        <v>2001</v>
      </c>
      <c r="IQ12" s="51">
        <v>40.35</v>
      </c>
      <c r="IR12" s="51">
        <v>37.950000000000003</v>
      </c>
      <c r="IS12" s="51">
        <v>35.85</v>
      </c>
      <c r="IT12">
        <v>40.35</v>
      </c>
      <c r="IU12" s="51"/>
    </row>
    <row r="13" spans="1:255" x14ac:dyDescent="0.2">
      <c r="A13">
        <f>COUNTA(G:G)-1</f>
        <v>0</v>
      </c>
      <c r="K13" t="s">
        <v>51</v>
      </c>
      <c r="L13">
        <v>25</v>
      </c>
      <c r="IO13" t="s">
        <v>82</v>
      </c>
      <c r="IP13" s="50">
        <v>2002</v>
      </c>
      <c r="IQ13" s="51">
        <v>42.15</v>
      </c>
      <c r="IR13" s="51">
        <v>40.1</v>
      </c>
      <c r="IS13" s="51">
        <v>38.299999999999997</v>
      </c>
      <c r="IT13">
        <v>42.15</v>
      </c>
      <c r="IU13" s="51"/>
    </row>
    <row r="14" spans="1:255" x14ac:dyDescent="0.2">
      <c r="IO14" t="s">
        <v>83</v>
      </c>
      <c r="IP14" s="50">
        <v>2003</v>
      </c>
      <c r="IQ14" s="51">
        <v>43.65</v>
      </c>
      <c r="IR14" s="51">
        <v>41.85</v>
      </c>
      <c r="IS14" s="51">
        <v>40.299999999999997</v>
      </c>
      <c r="IT14">
        <v>43.65</v>
      </c>
      <c r="IU14" s="51"/>
    </row>
    <row r="15" spans="1:255" x14ac:dyDescent="0.2">
      <c r="O15" s="13"/>
      <c r="IO15" t="s">
        <v>84</v>
      </c>
      <c r="IP15" s="50">
        <v>2004</v>
      </c>
      <c r="IQ15" s="51">
        <v>45.24</v>
      </c>
      <c r="IR15" s="51">
        <v>43.72</v>
      </c>
      <c r="IS15" s="51">
        <v>42.11</v>
      </c>
      <c r="IT15">
        <v>45.24</v>
      </c>
      <c r="IU15" s="51"/>
    </row>
    <row r="16" spans="1:255" x14ac:dyDescent="0.2">
      <c r="IO16" t="s">
        <v>85</v>
      </c>
      <c r="IP16" s="50">
        <v>2005</v>
      </c>
      <c r="IQ16" s="51">
        <v>46.8</v>
      </c>
      <c r="IR16" s="51">
        <v>45.35</v>
      </c>
      <c r="IS16" s="51">
        <v>44.05</v>
      </c>
      <c r="IT16">
        <v>46.8</v>
      </c>
      <c r="IU16" s="51"/>
    </row>
    <row r="17" spans="1:255" x14ac:dyDescent="0.2">
      <c r="IO17" t="s">
        <v>86</v>
      </c>
      <c r="IP17" s="50">
        <v>2006</v>
      </c>
      <c r="IQ17" s="51">
        <v>48.67</v>
      </c>
      <c r="IR17" s="51">
        <v>47.16</v>
      </c>
      <c r="IS17" s="51">
        <v>45.81</v>
      </c>
      <c r="IT17">
        <v>48.67</v>
      </c>
      <c r="IU17" s="51"/>
    </row>
    <row r="18" spans="1:255" x14ac:dyDescent="0.2">
      <c r="IO18" t="s">
        <v>87</v>
      </c>
      <c r="IP18" s="50">
        <v>2007</v>
      </c>
      <c r="IQ18" s="51">
        <v>50.57</v>
      </c>
      <c r="IR18" s="51">
        <v>49</v>
      </c>
      <c r="IS18" s="51">
        <v>67.599999999999994</v>
      </c>
      <c r="IT18">
        <v>50.57</v>
      </c>
      <c r="IU18" s="51"/>
    </row>
    <row r="19" spans="1:255" x14ac:dyDescent="0.2">
      <c r="IO19" t="s">
        <v>88</v>
      </c>
      <c r="IP19" s="50">
        <v>2008</v>
      </c>
      <c r="IQ19" s="51">
        <v>52.59</v>
      </c>
      <c r="IR19" s="51">
        <v>50.96</v>
      </c>
      <c r="IS19" s="51">
        <v>49.5</v>
      </c>
      <c r="IT19">
        <v>52.59</v>
      </c>
      <c r="IU19" s="51"/>
    </row>
    <row r="20" spans="1:255" x14ac:dyDescent="0.2">
      <c r="IO20" t="s">
        <v>89</v>
      </c>
      <c r="IP20" s="50">
        <v>2009</v>
      </c>
      <c r="IQ20" s="51">
        <v>54.8</v>
      </c>
      <c r="IR20" s="51">
        <v>53.26</v>
      </c>
      <c r="IS20" s="51">
        <v>51.95</v>
      </c>
      <c r="IT20">
        <v>54.8</v>
      </c>
      <c r="IU20" s="51"/>
    </row>
    <row r="21" spans="1:255" x14ac:dyDescent="0.2">
      <c r="IO21" t="s">
        <v>90</v>
      </c>
      <c r="IP21" s="50">
        <v>2010</v>
      </c>
      <c r="IQ21" s="51">
        <v>57.46</v>
      </c>
      <c r="IR21" s="51">
        <v>55.84</v>
      </c>
      <c r="IS21" s="51">
        <v>54.47</v>
      </c>
      <c r="IT21">
        <v>57.46</v>
      </c>
      <c r="IU21" s="51"/>
    </row>
    <row r="22" spans="1:255" x14ac:dyDescent="0.2">
      <c r="IO22" t="s">
        <v>91</v>
      </c>
      <c r="IP22" s="50">
        <v>2011</v>
      </c>
      <c r="IQ22" s="51">
        <v>59.82</v>
      </c>
      <c r="IR22" s="51">
        <v>58.13</v>
      </c>
      <c r="IS22" s="51">
        <v>56.7</v>
      </c>
      <c r="IT22">
        <v>59.82</v>
      </c>
      <c r="IU22" s="51"/>
    </row>
    <row r="23" spans="1:255" x14ac:dyDescent="0.2">
      <c r="IO23" t="s">
        <v>92</v>
      </c>
      <c r="IP23" s="50">
        <v>2012</v>
      </c>
      <c r="IQ23" s="51">
        <v>62.33</v>
      </c>
      <c r="IR23" s="51">
        <v>60.57</v>
      </c>
      <c r="IS23" s="51">
        <v>59.08</v>
      </c>
      <c r="IT23">
        <v>62.33</v>
      </c>
      <c r="IU23" s="51"/>
    </row>
    <row r="24" spans="1:255" x14ac:dyDescent="0.2">
      <c r="IO24" t="s">
        <v>99</v>
      </c>
      <c r="IP24" s="50">
        <v>2013</v>
      </c>
      <c r="IQ24" s="51">
        <v>64.760000000000005</v>
      </c>
      <c r="IR24" s="51">
        <v>61.38</v>
      </c>
      <c r="IS24" s="51">
        <v>61.38</v>
      </c>
      <c r="IT24">
        <v>64.760000000000005</v>
      </c>
    </row>
    <row r="25" spans="1:255" x14ac:dyDescent="0.2">
      <c r="IO25" t="s">
        <v>100</v>
      </c>
      <c r="IP25" s="50">
        <v>2014</v>
      </c>
      <c r="IQ25" s="51">
        <v>67.290000000000006</v>
      </c>
      <c r="IR25" s="51">
        <v>63.77</v>
      </c>
      <c r="IS25" s="51">
        <v>63.77</v>
      </c>
      <c r="IT25">
        <v>67.290000000000006</v>
      </c>
    </row>
    <row r="26" spans="1:255" x14ac:dyDescent="0.2">
      <c r="IO26" t="s">
        <v>102</v>
      </c>
      <c r="IP26" s="50">
        <v>2015</v>
      </c>
      <c r="IQ26" s="51">
        <v>70.099999999999994</v>
      </c>
      <c r="IR26" s="51">
        <v>70.099999999999994</v>
      </c>
      <c r="IS26" s="51">
        <v>70.099999999999994</v>
      </c>
      <c r="IT26">
        <v>70.099999999999994</v>
      </c>
    </row>
    <row r="27" spans="1:255" x14ac:dyDescent="0.2">
      <c r="IO27" t="s">
        <v>103</v>
      </c>
      <c r="IP27" s="50">
        <v>2016</v>
      </c>
      <c r="IQ27" s="51">
        <v>73.040000000000006</v>
      </c>
      <c r="IR27" s="51">
        <v>73.040000000000006</v>
      </c>
      <c r="IS27" s="51">
        <v>73.040000000000006</v>
      </c>
      <c r="IT27" s="51">
        <v>73.040000000000006</v>
      </c>
    </row>
    <row r="30" spans="1:255" x14ac:dyDescent="0.2">
      <c r="A30">
        <v>1</v>
      </c>
    </row>
  </sheetData>
  <phoneticPr fontId="2" type="noConversion"/>
  <pageMargins left="0.75" right="0.75" top="1" bottom="1" header="0" footer="0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ED_04"/>
  <dimension ref="A1:IX65534"/>
  <sheetViews>
    <sheetView showGridLines="0" tabSelected="1" view="pageBreakPreview" topLeftCell="A2" zoomScale="55" zoomScaleNormal="55" zoomScaleSheetLayoutView="55" workbookViewId="0">
      <selection activeCell="E18" sqref="E18:E20"/>
    </sheetView>
  </sheetViews>
  <sheetFormatPr defaultColWidth="11.42578125" defaultRowHeight="12.75" x14ac:dyDescent="0.2"/>
  <cols>
    <col min="1" max="1" width="11.42578125" style="17"/>
    <col min="2" max="2" width="32.5703125" style="17" customWidth="1"/>
    <col min="3" max="6" width="35.85546875" customWidth="1"/>
    <col min="7" max="14" width="19.85546875" customWidth="1"/>
    <col min="15" max="15" width="26.7109375" customWidth="1"/>
    <col min="16" max="16" width="24.28515625" customWidth="1"/>
    <col min="17" max="17" width="19.85546875" customWidth="1"/>
    <col min="18" max="18" width="23.28515625" customWidth="1"/>
    <col min="19" max="19" width="19.85546875" customWidth="1"/>
    <col min="20" max="20" width="19.28515625" customWidth="1"/>
    <col min="21" max="21" width="16.85546875" customWidth="1"/>
    <col min="22" max="22" width="15.7109375" customWidth="1"/>
  </cols>
  <sheetData>
    <row r="1" spans="1:258" s="77" customFormat="1" ht="12" hidden="1" customHeight="1" thickBot="1" x14ac:dyDescent="0.25">
      <c r="A1" s="75"/>
      <c r="B1" s="75" t="str">
        <f ca="1">CELL("address",G17)</f>
        <v>$G$17</v>
      </c>
      <c r="C1" s="75" t="str">
        <f ca="1">CELL("address",J17)</f>
        <v>$J$17</v>
      </c>
      <c r="D1" s="75" t="str">
        <f ca="1">CELL("address",K17)</f>
        <v>$K$17</v>
      </c>
      <c r="E1" s="75" t="str">
        <f ca="1">CELL("address",N17)</f>
        <v>$N$17</v>
      </c>
      <c r="F1" s="75"/>
      <c r="G1" s="75"/>
      <c r="H1" s="75">
        <f>J1-22+1</f>
        <v>52</v>
      </c>
      <c r="I1" s="75">
        <f>J1-12+1</f>
        <v>62</v>
      </c>
      <c r="J1" s="75">
        <f>ROW(B72)+1</f>
        <v>73</v>
      </c>
      <c r="K1" s="75" t="str">
        <f ca="1">CONCATENATE("$A$1:",ADDRESS(J1,M1))</f>
        <v>$A$1:$V$73</v>
      </c>
      <c r="L1" s="75" t="str">
        <f ca="1">CONCATENATE("$A$1:",ADDRESS(N1,M1))</f>
        <v>$A$1:$V$75</v>
      </c>
      <c r="M1" s="75">
        <f ca="1">CELL("Col",V70)</f>
        <v>22</v>
      </c>
      <c r="N1" s="75">
        <f>ROW(R75)</f>
        <v>75</v>
      </c>
      <c r="O1" s="75" t="str">
        <f ca="1">CELL("address",R74)</f>
        <v>$R$74</v>
      </c>
      <c r="P1" s="75" t="str">
        <f ca="1">CELL("address",T72)</f>
        <v>$T$72</v>
      </c>
      <c r="Q1" s="74">
        <f>+COLUMN(Q18)</f>
        <v>17</v>
      </c>
      <c r="R1" s="74" t="str">
        <f ca="1">CELL("address",J18)</f>
        <v>$J$18</v>
      </c>
      <c r="S1" s="74" t="str">
        <f ca="1">CELL("address",N18)</f>
        <v>$N$18</v>
      </c>
      <c r="T1" s="74" t="str">
        <f ca="1">CELL("address",O18)</f>
        <v>$O$18</v>
      </c>
      <c r="U1" s="76"/>
      <c r="X1" s="76"/>
      <c r="IR1" s="77">
        <f>+COLUMN(P18)</f>
        <v>16</v>
      </c>
      <c r="IS1" s="77">
        <f>+COLUMN(Q18)</f>
        <v>17</v>
      </c>
      <c r="IT1" s="75">
        <f>ROW(R75)</f>
        <v>75</v>
      </c>
      <c r="IU1" s="77">
        <f>+COLUMN(N18)</f>
        <v>14</v>
      </c>
      <c r="IV1" s="77">
        <f>+COLUMN(T21)</f>
        <v>20</v>
      </c>
      <c r="IW1" s="77">
        <f>+COLUMN(J18)</f>
        <v>10</v>
      </c>
      <c r="IX1" s="77">
        <f>+COLUMN(N18)</f>
        <v>14</v>
      </c>
    </row>
    <row r="2" spans="1:258" ht="24" thickBot="1" x14ac:dyDescent="0.4">
      <c r="A2" s="16"/>
      <c r="B2" s="28"/>
      <c r="C2" s="1"/>
      <c r="D2" s="1"/>
      <c r="E2" s="1"/>
      <c r="F2" s="1"/>
      <c r="G2" s="79" t="s">
        <v>0</v>
      </c>
      <c r="H2" s="79"/>
      <c r="I2" s="79"/>
      <c r="J2" s="79"/>
      <c r="K2" s="79"/>
      <c r="L2" s="79"/>
      <c r="M2" s="79"/>
      <c r="N2" s="1"/>
      <c r="P2" s="1"/>
      <c r="Q2" s="1"/>
      <c r="R2" s="1"/>
      <c r="S2" s="3" t="s">
        <v>9</v>
      </c>
    </row>
    <row r="3" spans="1:258" x14ac:dyDescent="0.2">
      <c r="A3" s="16"/>
      <c r="B3" s="28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258" ht="18" x14ac:dyDescent="0.25">
      <c r="A4" s="16"/>
      <c r="B4" s="28"/>
      <c r="C4" s="1"/>
      <c r="D4" s="72"/>
      <c r="E4" s="72"/>
      <c r="F4" s="72"/>
      <c r="G4" s="72" t="s">
        <v>2</v>
      </c>
      <c r="H4" s="80"/>
      <c r="I4" s="81"/>
      <c r="J4" s="81"/>
      <c r="K4" s="81"/>
      <c r="L4" s="81"/>
      <c r="M4" s="81"/>
      <c r="N4" s="1"/>
      <c r="O4" s="1"/>
      <c r="P4" s="1"/>
      <c r="Q4" s="1"/>
      <c r="R4" s="1"/>
      <c r="S4" s="1"/>
    </row>
    <row r="5" spans="1:258" x14ac:dyDescent="0.2">
      <c r="A5" s="16"/>
      <c r="B5" s="28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258" ht="18" x14ac:dyDescent="0.25">
      <c r="A6" s="16"/>
      <c r="B6" s="28"/>
      <c r="C6" s="1"/>
      <c r="D6" s="72"/>
      <c r="E6" s="72"/>
      <c r="F6" s="72"/>
      <c r="G6" s="72" t="s">
        <v>3</v>
      </c>
      <c r="H6" s="80"/>
      <c r="I6" s="81"/>
      <c r="J6" s="81"/>
      <c r="K6" s="81"/>
      <c r="L6" s="81"/>
      <c r="M6" s="81"/>
      <c r="N6" s="1"/>
      <c r="O6" s="1"/>
      <c r="P6" s="1"/>
      <c r="Q6" s="1"/>
      <c r="R6" s="1"/>
      <c r="S6" s="1"/>
    </row>
    <row r="7" spans="1:258" x14ac:dyDescent="0.2">
      <c r="A7" s="16"/>
      <c r="B7" s="28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258" x14ac:dyDescent="0.2">
      <c r="A8" s="16"/>
      <c r="B8" s="28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258" ht="22.5" customHeight="1" x14ac:dyDescent="0.25">
      <c r="A9" s="16"/>
      <c r="B9" s="28"/>
      <c r="C9" s="73"/>
      <c r="D9" s="73" t="s">
        <v>93</v>
      </c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</row>
    <row r="10" spans="1:258" ht="22.5" customHeight="1" x14ac:dyDescent="0.25">
      <c r="A10" s="16"/>
      <c r="B10" s="28"/>
      <c r="C10" s="73"/>
      <c r="D10" s="73" t="s">
        <v>4</v>
      </c>
      <c r="E10" s="89"/>
      <c r="F10" s="89"/>
      <c r="G10" s="89"/>
      <c r="H10" s="89"/>
      <c r="I10" s="89"/>
      <c r="J10" s="89"/>
      <c r="K10" s="89"/>
      <c r="L10" s="89"/>
      <c r="M10" s="89"/>
      <c r="N10" s="4"/>
      <c r="O10" s="4"/>
      <c r="P10" s="4"/>
    </row>
    <row r="11" spans="1:258" ht="22.5" customHeight="1" x14ac:dyDescent="0.25">
      <c r="A11" s="16"/>
      <c r="B11" s="28"/>
      <c r="C11" s="73"/>
      <c r="D11" s="73" t="s">
        <v>94</v>
      </c>
      <c r="E11" s="15" t="s">
        <v>47</v>
      </c>
      <c r="F11" s="15"/>
      <c r="G11" s="21"/>
      <c r="H11" s="88" t="s">
        <v>95</v>
      </c>
      <c r="I11" s="88"/>
      <c r="J11" s="22"/>
      <c r="K11" s="5" t="s">
        <v>1</v>
      </c>
      <c r="L11" s="22"/>
      <c r="M11" s="4"/>
      <c r="N11" s="4" t="s">
        <v>70</v>
      </c>
      <c r="O11" s="78" t="s">
        <v>68</v>
      </c>
      <c r="P11" s="4"/>
    </row>
    <row r="12" spans="1:258" ht="22.5" customHeight="1" x14ac:dyDescent="0.25">
      <c r="A12" s="16"/>
      <c r="B12" s="28"/>
      <c r="C12" s="73"/>
      <c r="D12" s="73" t="s">
        <v>48</v>
      </c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</row>
    <row r="13" spans="1:258" x14ac:dyDescent="0.2">
      <c r="A13" s="16"/>
      <c r="B13" s="28"/>
      <c r="C13" s="1"/>
      <c r="D13" s="1"/>
      <c r="E13" s="1"/>
      <c r="F13" s="1"/>
      <c r="G13" s="1"/>
      <c r="H13" s="2"/>
      <c r="I13" s="2"/>
      <c r="J13" s="2"/>
      <c r="K13" s="2"/>
      <c r="L13" s="2"/>
      <c r="M13" s="1"/>
      <c r="N13" s="1"/>
      <c r="O13" s="1"/>
      <c r="P13" s="1"/>
      <c r="Q13" s="1"/>
      <c r="S13" s="1"/>
    </row>
    <row r="14" spans="1:258" x14ac:dyDescent="0.2">
      <c r="A14" s="16"/>
      <c r="B14" s="28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S14" s="1"/>
    </row>
    <row r="15" spans="1:258" ht="17.25" customHeight="1" x14ac:dyDescent="0.2">
      <c r="A15" s="16"/>
      <c r="B15" s="28"/>
      <c r="C15" s="86" t="s">
        <v>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258" ht="15" customHeight="1" thickBot="1" x14ac:dyDescent="0.25">
      <c r="A16" s="16"/>
      <c r="B16" s="28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</row>
    <row r="17" spans="1:17" ht="43.5" customHeight="1" thickBot="1" x14ac:dyDescent="0.25">
      <c r="A17" s="16"/>
      <c r="B17" s="94" t="s">
        <v>57</v>
      </c>
      <c r="C17" s="91" t="s">
        <v>39</v>
      </c>
      <c r="D17" s="92"/>
      <c r="E17" s="93"/>
      <c r="F17" s="94" t="s">
        <v>96</v>
      </c>
      <c r="G17" s="97" t="s">
        <v>6</v>
      </c>
      <c r="H17" s="98"/>
      <c r="I17" s="98"/>
      <c r="J17" s="99"/>
      <c r="K17" s="100" t="s">
        <v>7</v>
      </c>
      <c r="L17" s="101"/>
      <c r="M17" s="101"/>
      <c r="N17" s="102"/>
      <c r="O17" s="18" t="s">
        <v>8</v>
      </c>
      <c r="P17" s="19"/>
      <c r="Q17" s="20"/>
    </row>
    <row r="18" spans="1:17" ht="21.75" customHeight="1" x14ac:dyDescent="0.2">
      <c r="A18" s="16" t="s">
        <v>43</v>
      </c>
      <c r="B18" s="95"/>
      <c r="C18" s="94" t="s">
        <v>40</v>
      </c>
      <c r="D18" s="94" t="s">
        <v>41</v>
      </c>
      <c r="E18" s="94" t="s">
        <v>42</v>
      </c>
      <c r="F18" s="95"/>
      <c r="G18" s="83"/>
      <c r="H18" s="83"/>
      <c r="I18" s="83"/>
      <c r="J18" s="83" t="s">
        <v>54</v>
      </c>
      <c r="K18" s="83"/>
      <c r="L18" s="83"/>
      <c r="M18" s="83"/>
      <c r="N18" s="83" t="s">
        <v>55</v>
      </c>
      <c r="O18" s="83" t="s">
        <v>97</v>
      </c>
      <c r="P18" s="83" t="s">
        <v>98</v>
      </c>
      <c r="Q18" s="83" t="s">
        <v>56</v>
      </c>
    </row>
    <row r="19" spans="1:17" ht="21" customHeight="1" x14ac:dyDescent="0.2">
      <c r="A19" s="16"/>
      <c r="B19" s="95"/>
      <c r="C19" s="95"/>
      <c r="D19" s="95"/>
      <c r="E19" s="95"/>
      <c r="F19" s="95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</row>
    <row r="20" spans="1:17" ht="21.75" customHeight="1" thickBot="1" x14ac:dyDescent="0.25">
      <c r="A20" s="16"/>
      <c r="B20" s="96"/>
      <c r="C20" s="96"/>
      <c r="D20" s="96"/>
      <c r="E20" s="96"/>
      <c r="F20" s="96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</row>
    <row r="21" spans="1:17" s="58" customFormat="1" x14ac:dyDescent="0.2">
      <c r="A21" s="16"/>
      <c r="B21" s="38"/>
      <c r="C21" s="38"/>
      <c r="D21" s="39"/>
      <c r="E21" s="39"/>
      <c r="F21" s="29"/>
      <c r="G21" s="53"/>
      <c r="H21" s="54"/>
      <c r="I21" s="54"/>
      <c r="J21" s="55">
        <f t="shared" ref="J21:J68" si="0">SUM(G21:I21)</f>
        <v>0</v>
      </c>
      <c r="K21" s="54"/>
      <c r="L21" s="53"/>
      <c r="M21" s="54"/>
      <c r="N21" s="55">
        <f t="shared" ref="N21:N68" si="1">SUM(K21:M21)</f>
        <v>0</v>
      </c>
      <c r="O21" s="56">
        <f t="shared" ref="O21:O68" si="2">SUM(J21+N21)</f>
        <v>0</v>
      </c>
      <c r="P21" s="55">
        <f>IF(C21&lt;&gt;"",(((Prep!$L$13*Prep!$L$12)*F21)+N21),0)</f>
        <v>0</v>
      </c>
      <c r="Q21" s="57">
        <f t="shared" ref="Q21:Q68" si="3">+IF(P21&gt;O21,0,O21-P21)</f>
        <v>0</v>
      </c>
    </row>
    <row r="22" spans="1:17" s="58" customFormat="1" x14ac:dyDescent="0.2">
      <c r="A22" s="16"/>
      <c r="B22" s="40"/>
      <c r="C22" s="40"/>
      <c r="D22" s="41"/>
      <c r="E22" s="41"/>
      <c r="F22" s="30"/>
      <c r="G22" s="59"/>
      <c r="H22" s="59"/>
      <c r="I22" s="59"/>
      <c r="J22" s="56">
        <f t="shared" si="0"/>
        <v>0</v>
      </c>
      <c r="K22" s="59"/>
      <c r="L22" s="59"/>
      <c r="M22" s="59"/>
      <c r="N22" s="60">
        <f t="shared" si="1"/>
        <v>0</v>
      </c>
      <c r="O22" s="56">
        <f t="shared" si="2"/>
        <v>0</v>
      </c>
      <c r="P22" s="56">
        <f>IF(C22&lt;&gt;"",(((Prep!$L$13*Prep!$L$12)*F22)+N22),0)</f>
        <v>0</v>
      </c>
      <c r="Q22" s="61">
        <f t="shared" si="3"/>
        <v>0</v>
      </c>
    </row>
    <row r="23" spans="1:17" s="58" customFormat="1" x14ac:dyDescent="0.2">
      <c r="A23" s="16"/>
      <c r="B23" s="40"/>
      <c r="C23" s="40"/>
      <c r="D23" s="41"/>
      <c r="E23" s="41"/>
      <c r="F23" s="30"/>
      <c r="G23" s="59"/>
      <c r="H23" s="59"/>
      <c r="I23" s="59"/>
      <c r="J23" s="56">
        <f t="shared" si="0"/>
        <v>0</v>
      </c>
      <c r="K23" s="59"/>
      <c r="L23" s="59"/>
      <c r="M23" s="59"/>
      <c r="N23" s="60">
        <f t="shared" si="1"/>
        <v>0</v>
      </c>
      <c r="O23" s="56">
        <f t="shared" si="2"/>
        <v>0</v>
      </c>
      <c r="P23" s="56">
        <f>IF(C23&lt;&gt;"",(((Prep!$L$13*Prep!$L$12)*F23)+N23),0)</f>
        <v>0</v>
      </c>
      <c r="Q23" s="61">
        <f t="shared" si="3"/>
        <v>0</v>
      </c>
    </row>
    <row r="24" spans="1:17" s="58" customFormat="1" x14ac:dyDescent="0.2">
      <c r="A24" s="16"/>
      <c r="B24" s="42"/>
      <c r="C24" s="42"/>
      <c r="D24" s="43"/>
      <c r="E24" s="43"/>
      <c r="F24" s="31"/>
      <c r="G24" s="59"/>
      <c r="H24" s="59"/>
      <c r="I24" s="59"/>
      <c r="J24" s="56">
        <f t="shared" si="0"/>
        <v>0</v>
      </c>
      <c r="K24" s="59"/>
      <c r="L24" s="59"/>
      <c r="M24" s="59"/>
      <c r="N24" s="60">
        <f t="shared" si="1"/>
        <v>0</v>
      </c>
      <c r="O24" s="56">
        <f t="shared" si="2"/>
        <v>0</v>
      </c>
      <c r="P24" s="56">
        <f>IF(C24&lt;&gt;"",(((Prep!$L$13*Prep!$L$12)*F24)+N24),0)</f>
        <v>0</v>
      </c>
      <c r="Q24" s="61">
        <f t="shared" si="3"/>
        <v>0</v>
      </c>
    </row>
    <row r="25" spans="1:17" s="58" customFormat="1" x14ac:dyDescent="0.2">
      <c r="A25" s="16"/>
      <c r="B25" s="40"/>
      <c r="C25" s="40"/>
      <c r="D25" s="41"/>
      <c r="E25" s="41"/>
      <c r="F25" s="30"/>
      <c r="G25" s="59"/>
      <c r="H25" s="59"/>
      <c r="I25" s="59"/>
      <c r="J25" s="56">
        <f t="shared" si="0"/>
        <v>0</v>
      </c>
      <c r="K25" s="59"/>
      <c r="L25" s="59"/>
      <c r="M25" s="59"/>
      <c r="N25" s="60">
        <f t="shared" si="1"/>
        <v>0</v>
      </c>
      <c r="O25" s="56">
        <f t="shared" si="2"/>
        <v>0</v>
      </c>
      <c r="P25" s="56">
        <f>IF(C25&lt;&gt;"",(((Prep!$L$13*Prep!$L$12)*F25)+N25),0)</f>
        <v>0</v>
      </c>
      <c r="Q25" s="61">
        <f t="shared" si="3"/>
        <v>0</v>
      </c>
    </row>
    <row r="26" spans="1:17" s="58" customFormat="1" x14ac:dyDescent="0.2">
      <c r="A26" s="16"/>
      <c r="B26" s="44"/>
      <c r="C26" s="44"/>
      <c r="D26" s="45"/>
      <c r="E26" s="45"/>
      <c r="F26" s="32"/>
      <c r="G26" s="59"/>
      <c r="H26" s="59"/>
      <c r="I26" s="62"/>
      <c r="J26" s="56">
        <f t="shared" si="0"/>
        <v>0</v>
      </c>
      <c r="K26" s="62"/>
      <c r="L26" s="59"/>
      <c r="M26" s="59"/>
      <c r="N26" s="60">
        <f t="shared" si="1"/>
        <v>0</v>
      </c>
      <c r="O26" s="56">
        <f t="shared" si="2"/>
        <v>0</v>
      </c>
      <c r="P26" s="63">
        <f>IF(C26&lt;&gt;"",(((Prep!$L$13*Prep!$L$12)*F26)+N26),0)</f>
        <v>0</v>
      </c>
      <c r="Q26" s="61">
        <f t="shared" si="3"/>
        <v>0</v>
      </c>
    </row>
    <row r="27" spans="1:17" s="58" customFormat="1" x14ac:dyDescent="0.2">
      <c r="A27" s="16"/>
      <c r="B27" s="46"/>
      <c r="C27" s="46"/>
      <c r="D27" s="47"/>
      <c r="E27" s="47"/>
      <c r="F27" s="33"/>
      <c r="G27" s="59"/>
      <c r="H27" s="59"/>
      <c r="I27" s="64"/>
      <c r="J27" s="56">
        <f t="shared" si="0"/>
        <v>0</v>
      </c>
      <c r="K27" s="64"/>
      <c r="L27" s="59"/>
      <c r="M27" s="59"/>
      <c r="N27" s="60">
        <f t="shared" si="1"/>
        <v>0</v>
      </c>
      <c r="O27" s="56">
        <f t="shared" si="2"/>
        <v>0</v>
      </c>
      <c r="P27" s="56">
        <f>IF(C27&lt;&gt;"",(((Prep!$L$13*Prep!$L$12)*F27)+N27),0)</f>
        <v>0</v>
      </c>
      <c r="Q27" s="61">
        <f t="shared" si="3"/>
        <v>0</v>
      </c>
    </row>
    <row r="28" spans="1:17" s="58" customFormat="1" x14ac:dyDescent="0.2">
      <c r="A28" s="16"/>
      <c r="B28" s="40"/>
      <c r="C28" s="40"/>
      <c r="D28" s="41"/>
      <c r="E28" s="41"/>
      <c r="F28" s="30"/>
      <c r="G28" s="59"/>
      <c r="H28" s="59"/>
      <c r="I28" s="65"/>
      <c r="J28" s="56">
        <f t="shared" si="0"/>
        <v>0</v>
      </c>
      <c r="K28" s="65"/>
      <c r="L28" s="59"/>
      <c r="M28" s="59"/>
      <c r="N28" s="60">
        <f t="shared" si="1"/>
        <v>0</v>
      </c>
      <c r="O28" s="56">
        <f t="shared" si="2"/>
        <v>0</v>
      </c>
      <c r="P28" s="56">
        <f>IF(C28&lt;&gt;"",(((Prep!$L$13*Prep!$L$12)*F28)+N28),0)</f>
        <v>0</v>
      </c>
      <c r="Q28" s="61">
        <f t="shared" si="3"/>
        <v>0</v>
      </c>
    </row>
    <row r="29" spans="1:17" s="58" customFormat="1" x14ac:dyDescent="0.2">
      <c r="A29" s="16"/>
      <c r="B29" s="40"/>
      <c r="C29" s="40"/>
      <c r="D29" s="41"/>
      <c r="E29" s="41"/>
      <c r="F29" s="30"/>
      <c r="G29" s="59"/>
      <c r="H29" s="59"/>
      <c r="I29" s="59"/>
      <c r="J29" s="56">
        <f t="shared" si="0"/>
        <v>0</v>
      </c>
      <c r="K29" s="59"/>
      <c r="L29" s="59"/>
      <c r="M29" s="59"/>
      <c r="N29" s="60">
        <f t="shared" si="1"/>
        <v>0</v>
      </c>
      <c r="O29" s="56">
        <f t="shared" si="2"/>
        <v>0</v>
      </c>
      <c r="P29" s="56">
        <f>IF(C29&lt;&gt;"",(((Prep!$L$13*Prep!$L$12)*F29)+N29),0)</f>
        <v>0</v>
      </c>
      <c r="Q29" s="61">
        <f t="shared" si="3"/>
        <v>0</v>
      </c>
    </row>
    <row r="30" spans="1:17" s="58" customFormat="1" x14ac:dyDescent="0.2">
      <c r="A30" s="16"/>
      <c r="B30" s="40"/>
      <c r="C30" s="40"/>
      <c r="D30" s="41"/>
      <c r="E30" s="41"/>
      <c r="F30" s="30"/>
      <c r="G30" s="59"/>
      <c r="H30" s="59"/>
      <c r="I30" s="59"/>
      <c r="J30" s="56">
        <f t="shared" si="0"/>
        <v>0</v>
      </c>
      <c r="K30" s="59"/>
      <c r="L30" s="59"/>
      <c r="M30" s="59"/>
      <c r="N30" s="60">
        <f t="shared" si="1"/>
        <v>0</v>
      </c>
      <c r="O30" s="56">
        <f t="shared" si="2"/>
        <v>0</v>
      </c>
      <c r="P30" s="56">
        <f>IF(C30&lt;&gt;"",(((Prep!$L$13*Prep!$L$12)*F30)+N30),0)</f>
        <v>0</v>
      </c>
      <c r="Q30" s="61">
        <f t="shared" si="3"/>
        <v>0</v>
      </c>
    </row>
    <row r="31" spans="1:17" s="58" customFormat="1" x14ac:dyDescent="0.2">
      <c r="A31" s="16"/>
      <c r="B31" s="40"/>
      <c r="C31" s="40"/>
      <c r="D31" s="41"/>
      <c r="E31" s="41"/>
      <c r="F31" s="30"/>
      <c r="G31" s="59"/>
      <c r="H31" s="59"/>
      <c r="I31" s="59"/>
      <c r="J31" s="56">
        <f t="shared" si="0"/>
        <v>0</v>
      </c>
      <c r="K31" s="59"/>
      <c r="L31" s="59"/>
      <c r="M31" s="59"/>
      <c r="N31" s="60">
        <f t="shared" si="1"/>
        <v>0</v>
      </c>
      <c r="O31" s="56">
        <f t="shared" si="2"/>
        <v>0</v>
      </c>
      <c r="P31" s="56">
        <f>IF(C31&lt;&gt;"",(((Prep!$L$13*Prep!$L$12)*F31)+N31),0)</f>
        <v>0</v>
      </c>
      <c r="Q31" s="61">
        <f t="shared" si="3"/>
        <v>0</v>
      </c>
    </row>
    <row r="32" spans="1:17" s="58" customFormat="1" x14ac:dyDescent="0.2">
      <c r="A32" s="16"/>
      <c r="B32" s="40"/>
      <c r="C32" s="40"/>
      <c r="D32" s="41"/>
      <c r="E32" s="41"/>
      <c r="F32" s="30"/>
      <c r="G32" s="59"/>
      <c r="H32" s="59"/>
      <c r="I32" s="59"/>
      <c r="J32" s="56">
        <f t="shared" si="0"/>
        <v>0</v>
      </c>
      <c r="K32" s="59"/>
      <c r="L32" s="59"/>
      <c r="M32" s="59"/>
      <c r="N32" s="60">
        <f t="shared" si="1"/>
        <v>0</v>
      </c>
      <c r="O32" s="56">
        <f t="shared" si="2"/>
        <v>0</v>
      </c>
      <c r="P32" s="56">
        <f>IF(C32&lt;&gt;"",(((Prep!$L$13*Prep!$L$12)*F32)+N32),0)</f>
        <v>0</v>
      </c>
      <c r="Q32" s="61">
        <f t="shared" si="3"/>
        <v>0</v>
      </c>
    </row>
    <row r="33" spans="1:17" s="58" customFormat="1" x14ac:dyDescent="0.2">
      <c r="A33" s="16"/>
      <c r="B33" s="40"/>
      <c r="C33" s="40"/>
      <c r="D33" s="41"/>
      <c r="E33" s="41"/>
      <c r="F33" s="30"/>
      <c r="G33" s="59"/>
      <c r="H33" s="59"/>
      <c r="I33" s="59"/>
      <c r="J33" s="56">
        <f t="shared" si="0"/>
        <v>0</v>
      </c>
      <c r="K33" s="59"/>
      <c r="L33" s="59"/>
      <c r="M33" s="59"/>
      <c r="N33" s="60">
        <f t="shared" si="1"/>
        <v>0</v>
      </c>
      <c r="O33" s="56">
        <f t="shared" si="2"/>
        <v>0</v>
      </c>
      <c r="P33" s="56">
        <f>IF(C33&lt;&gt;"",(((Prep!$L$13*Prep!$L$12)*F33)+N33),0)</f>
        <v>0</v>
      </c>
      <c r="Q33" s="61">
        <f t="shared" si="3"/>
        <v>0</v>
      </c>
    </row>
    <row r="34" spans="1:17" s="58" customFormat="1" x14ac:dyDescent="0.2">
      <c r="A34" s="16"/>
      <c r="B34" s="40"/>
      <c r="C34" s="40"/>
      <c r="D34" s="41"/>
      <c r="E34" s="41"/>
      <c r="F34" s="30"/>
      <c r="G34" s="59"/>
      <c r="H34" s="59"/>
      <c r="I34" s="59"/>
      <c r="J34" s="56">
        <f t="shared" si="0"/>
        <v>0</v>
      </c>
      <c r="K34" s="59"/>
      <c r="L34" s="59"/>
      <c r="M34" s="59"/>
      <c r="N34" s="60">
        <f t="shared" si="1"/>
        <v>0</v>
      </c>
      <c r="O34" s="56">
        <f t="shared" si="2"/>
        <v>0</v>
      </c>
      <c r="P34" s="56">
        <f>IF(C34&lt;&gt;"",(((Prep!$L$13*Prep!$L$12)*F34)+N34),0)</f>
        <v>0</v>
      </c>
      <c r="Q34" s="61">
        <f t="shared" si="3"/>
        <v>0</v>
      </c>
    </row>
    <row r="35" spans="1:17" s="58" customFormat="1" x14ac:dyDescent="0.2">
      <c r="A35" s="16"/>
      <c r="B35" s="40"/>
      <c r="C35" s="40"/>
      <c r="D35" s="41"/>
      <c r="E35" s="41"/>
      <c r="F35" s="30"/>
      <c r="G35" s="59"/>
      <c r="H35" s="59"/>
      <c r="I35" s="59"/>
      <c r="J35" s="56">
        <f t="shared" si="0"/>
        <v>0</v>
      </c>
      <c r="K35" s="59"/>
      <c r="L35" s="59"/>
      <c r="M35" s="59"/>
      <c r="N35" s="60">
        <f t="shared" si="1"/>
        <v>0</v>
      </c>
      <c r="O35" s="56">
        <f t="shared" si="2"/>
        <v>0</v>
      </c>
      <c r="P35" s="56">
        <f>IF(C35&lt;&gt;"",(((Prep!$L$13*Prep!$L$12)*F35)+N35),0)</f>
        <v>0</v>
      </c>
      <c r="Q35" s="61">
        <f t="shared" si="3"/>
        <v>0</v>
      </c>
    </row>
    <row r="36" spans="1:17" s="58" customFormat="1" x14ac:dyDescent="0.2">
      <c r="A36" s="16"/>
      <c r="B36" s="40"/>
      <c r="C36" s="40"/>
      <c r="D36" s="41"/>
      <c r="E36" s="41"/>
      <c r="F36" s="30"/>
      <c r="G36" s="59"/>
      <c r="H36" s="59"/>
      <c r="I36" s="59"/>
      <c r="J36" s="56">
        <f t="shared" si="0"/>
        <v>0</v>
      </c>
      <c r="K36" s="59"/>
      <c r="L36" s="59"/>
      <c r="M36" s="59"/>
      <c r="N36" s="60">
        <f t="shared" si="1"/>
        <v>0</v>
      </c>
      <c r="O36" s="56">
        <f t="shared" si="2"/>
        <v>0</v>
      </c>
      <c r="P36" s="56">
        <f>IF(C36&lt;&gt;"",(((Prep!$L$13*Prep!$L$12)*F36)+N36),0)</f>
        <v>0</v>
      </c>
      <c r="Q36" s="61">
        <f t="shared" si="3"/>
        <v>0</v>
      </c>
    </row>
    <row r="37" spans="1:17" s="58" customFormat="1" x14ac:dyDescent="0.2">
      <c r="A37" s="16"/>
      <c r="B37" s="40"/>
      <c r="C37" s="40"/>
      <c r="D37" s="41"/>
      <c r="E37" s="41"/>
      <c r="F37" s="30"/>
      <c r="G37" s="59"/>
      <c r="H37" s="59"/>
      <c r="I37" s="59"/>
      <c r="J37" s="56">
        <f t="shared" si="0"/>
        <v>0</v>
      </c>
      <c r="K37" s="59"/>
      <c r="L37" s="59"/>
      <c r="M37" s="59"/>
      <c r="N37" s="60">
        <f t="shared" si="1"/>
        <v>0</v>
      </c>
      <c r="O37" s="56">
        <f t="shared" si="2"/>
        <v>0</v>
      </c>
      <c r="P37" s="56">
        <f>IF(C37&lt;&gt;"",(((Prep!$L$13*Prep!$L$12)*F37)+N37),0)</f>
        <v>0</v>
      </c>
      <c r="Q37" s="61">
        <f t="shared" si="3"/>
        <v>0</v>
      </c>
    </row>
    <row r="38" spans="1:17" s="58" customFormat="1" x14ac:dyDescent="0.2">
      <c r="A38" s="16"/>
      <c r="B38" s="40"/>
      <c r="C38" s="40"/>
      <c r="D38" s="41"/>
      <c r="E38" s="41"/>
      <c r="F38" s="30"/>
      <c r="G38" s="59"/>
      <c r="H38" s="59"/>
      <c r="I38" s="59"/>
      <c r="J38" s="56">
        <f t="shared" si="0"/>
        <v>0</v>
      </c>
      <c r="K38" s="59"/>
      <c r="L38" s="59"/>
      <c r="M38" s="59"/>
      <c r="N38" s="60">
        <f t="shared" si="1"/>
        <v>0</v>
      </c>
      <c r="O38" s="56">
        <f t="shared" si="2"/>
        <v>0</v>
      </c>
      <c r="P38" s="56">
        <f>IF(C38&lt;&gt;"",(((Prep!$L$13*Prep!$L$12)*F38)+N38),0)</f>
        <v>0</v>
      </c>
      <c r="Q38" s="61">
        <f t="shared" si="3"/>
        <v>0</v>
      </c>
    </row>
    <row r="39" spans="1:17" s="58" customFormat="1" x14ac:dyDescent="0.2">
      <c r="A39" s="16"/>
      <c r="B39" s="40"/>
      <c r="C39" s="40"/>
      <c r="D39" s="41"/>
      <c r="E39" s="41"/>
      <c r="F39" s="30"/>
      <c r="G39" s="59"/>
      <c r="H39" s="59"/>
      <c r="I39" s="59"/>
      <c r="J39" s="56">
        <f t="shared" si="0"/>
        <v>0</v>
      </c>
      <c r="K39" s="59"/>
      <c r="L39" s="59"/>
      <c r="M39" s="59"/>
      <c r="N39" s="60">
        <f t="shared" si="1"/>
        <v>0</v>
      </c>
      <c r="O39" s="56">
        <f t="shared" si="2"/>
        <v>0</v>
      </c>
      <c r="P39" s="56">
        <f>IF(C39&lt;&gt;"",(((Prep!$L$13*Prep!$L$12)*F39)+N39),0)</f>
        <v>0</v>
      </c>
      <c r="Q39" s="61">
        <f t="shared" si="3"/>
        <v>0</v>
      </c>
    </row>
    <row r="40" spans="1:17" s="58" customFormat="1" x14ac:dyDescent="0.2">
      <c r="A40" s="16"/>
      <c r="B40" s="40"/>
      <c r="C40" s="40"/>
      <c r="D40" s="41"/>
      <c r="E40" s="41"/>
      <c r="F40" s="30"/>
      <c r="G40" s="59"/>
      <c r="H40" s="59"/>
      <c r="I40" s="59"/>
      <c r="J40" s="56">
        <f t="shared" si="0"/>
        <v>0</v>
      </c>
      <c r="K40" s="59"/>
      <c r="L40" s="59"/>
      <c r="M40" s="59"/>
      <c r="N40" s="60">
        <f t="shared" si="1"/>
        <v>0</v>
      </c>
      <c r="O40" s="56">
        <f t="shared" si="2"/>
        <v>0</v>
      </c>
      <c r="P40" s="56">
        <f>IF(C40&lt;&gt;"",(((Prep!$L$13*Prep!$L$12)*F40)+N40),0)</f>
        <v>0</v>
      </c>
      <c r="Q40" s="61">
        <f t="shared" si="3"/>
        <v>0</v>
      </c>
    </row>
    <row r="41" spans="1:17" s="58" customFormat="1" x14ac:dyDescent="0.2">
      <c r="A41" s="16"/>
      <c r="B41" s="40"/>
      <c r="C41" s="40"/>
      <c r="D41" s="41"/>
      <c r="E41" s="41"/>
      <c r="F41" s="30"/>
      <c r="G41" s="59"/>
      <c r="H41" s="59"/>
      <c r="I41" s="59"/>
      <c r="J41" s="56">
        <f t="shared" si="0"/>
        <v>0</v>
      </c>
      <c r="K41" s="59"/>
      <c r="L41" s="59"/>
      <c r="M41" s="59"/>
      <c r="N41" s="60">
        <f t="shared" si="1"/>
        <v>0</v>
      </c>
      <c r="O41" s="56">
        <f t="shared" si="2"/>
        <v>0</v>
      </c>
      <c r="P41" s="56">
        <f>IF(C41&lt;&gt;"",(((Prep!$L$13*Prep!$L$12)*F41)+N41),0)</f>
        <v>0</v>
      </c>
      <c r="Q41" s="61">
        <f t="shared" si="3"/>
        <v>0</v>
      </c>
    </row>
    <row r="42" spans="1:17" s="58" customFormat="1" x14ac:dyDescent="0.2">
      <c r="A42" s="16"/>
      <c r="B42" s="40"/>
      <c r="C42" s="40"/>
      <c r="D42" s="41"/>
      <c r="E42" s="41"/>
      <c r="F42" s="30"/>
      <c r="G42" s="59"/>
      <c r="H42" s="59"/>
      <c r="I42" s="59"/>
      <c r="J42" s="56">
        <f t="shared" si="0"/>
        <v>0</v>
      </c>
      <c r="K42" s="59"/>
      <c r="L42" s="59"/>
      <c r="M42" s="59"/>
      <c r="N42" s="60">
        <f t="shared" si="1"/>
        <v>0</v>
      </c>
      <c r="O42" s="56">
        <f t="shared" si="2"/>
        <v>0</v>
      </c>
      <c r="P42" s="56">
        <f>IF(C42&lt;&gt;"",(((Prep!$L$13*Prep!$L$12)*F42)+N42),0)</f>
        <v>0</v>
      </c>
      <c r="Q42" s="61">
        <f t="shared" si="3"/>
        <v>0</v>
      </c>
    </row>
    <row r="43" spans="1:17" s="58" customFormat="1" x14ac:dyDescent="0.2">
      <c r="A43" s="16"/>
      <c r="B43" s="40"/>
      <c r="C43" s="40"/>
      <c r="D43" s="41"/>
      <c r="E43" s="41"/>
      <c r="F43" s="30"/>
      <c r="G43" s="59"/>
      <c r="H43" s="59"/>
      <c r="I43" s="59"/>
      <c r="J43" s="56">
        <f t="shared" si="0"/>
        <v>0</v>
      </c>
      <c r="K43" s="59"/>
      <c r="L43" s="59"/>
      <c r="M43" s="59"/>
      <c r="N43" s="60">
        <f t="shared" si="1"/>
        <v>0</v>
      </c>
      <c r="O43" s="56">
        <f t="shared" si="2"/>
        <v>0</v>
      </c>
      <c r="P43" s="56">
        <f>IF(C43&lt;&gt;"",(((Prep!$L$13*Prep!$L$12)*F43)+N43),0)</f>
        <v>0</v>
      </c>
      <c r="Q43" s="61">
        <f t="shared" si="3"/>
        <v>0</v>
      </c>
    </row>
    <row r="44" spans="1:17" s="58" customFormat="1" x14ac:dyDescent="0.2">
      <c r="A44" s="16"/>
      <c r="B44" s="40"/>
      <c r="C44" s="40"/>
      <c r="D44" s="41"/>
      <c r="E44" s="41"/>
      <c r="F44" s="30"/>
      <c r="G44" s="59"/>
      <c r="H44" s="59"/>
      <c r="I44" s="59"/>
      <c r="J44" s="56">
        <f t="shared" si="0"/>
        <v>0</v>
      </c>
      <c r="K44" s="59"/>
      <c r="L44" s="59"/>
      <c r="M44" s="59"/>
      <c r="N44" s="60">
        <f t="shared" si="1"/>
        <v>0</v>
      </c>
      <c r="O44" s="56">
        <f t="shared" si="2"/>
        <v>0</v>
      </c>
      <c r="P44" s="56">
        <f>IF(C44&lt;&gt;"",(((Prep!$L$13*Prep!$L$12)*F44)+N44),0)</f>
        <v>0</v>
      </c>
      <c r="Q44" s="61">
        <f t="shared" si="3"/>
        <v>0</v>
      </c>
    </row>
    <row r="45" spans="1:17" s="58" customFormat="1" x14ac:dyDescent="0.2">
      <c r="A45" s="16"/>
      <c r="B45" s="40"/>
      <c r="C45" s="40"/>
      <c r="D45" s="41"/>
      <c r="E45" s="41"/>
      <c r="F45" s="30"/>
      <c r="G45" s="59"/>
      <c r="H45" s="59"/>
      <c r="I45" s="59"/>
      <c r="J45" s="56">
        <f t="shared" si="0"/>
        <v>0</v>
      </c>
      <c r="K45" s="59"/>
      <c r="L45" s="59"/>
      <c r="M45" s="59"/>
      <c r="N45" s="60">
        <f t="shared" si="1"/>
        <v>0</v>
      </c>
      <c r="O45" s="56">
        <f t="shared" si="2"/>
        <v>0</v>
      </c>
      <c r="P45" s="56">
        <f>IF(C45&lt;&gt;"",(((Prep!$L$13*Prep!$L$12)*F45)+N45),0)</f>
        <v>0</v>
      </c>
      <c r="Q45" s="61">
        <f t="shared" si="3"/>
        <v>0</v>
      </c>
    </row>
    <row r="46" spans="1:17" s="58" customFormat="1" x14ac:dyDescent="0.2">
      <c r="A46" s="16"/>
      <c r="B46" s="40"/>
      <c r="C46" s="40"/>
      <c r="D46" s="41"/>
      <c r="E46" s="41"/>
      <c r="F46" s="30"/>
      <c r="G46" s="59"/>
      <c r="H46" s="59"/>
      <c r="I46" s="59"/>
      <c r="J46" s="56">
        <f t="shared" si="0"/>
        <v>0</v>
      </c>
      <c r="K46" s="59"/>
      <c r="L46" s="59"/>
      <c r="M46" s="59"/>
      <c r="N46" s="60">
        <f t="shared" si="1"/>
        <v>0</v>
      </c>
      <c r="O46" s="56">
        <f t="shared" si="2"/>
        <v>0</v>
      </c>
      <c r="P46" s="56">
        <f>IF(C46&lt;&gt;"",(((Prep!$L$13*Prep!$L$12)*F46)+N46),0)</f>
        <v>0</v>
      </c>
      <c r="Q46" s="61">
        <f t="shared" si="3"/>
        <v>0</v>
      </c>
    </row>
    <row r="47" spans="1:17" s="58" customFormat="1" x14ac:dyDescent="0.2">
      <c r="A47" s="16"/>
      <c r="B47" s="40"/>
      <c r="C47" s="40"/>
      <c r="D47" s="41"/>
      <c r="E47" s="41"/>
      <c r="F47" s="30"/>
      <c r="G47" s="59"/>
      <c r="H47" s="59"/>
      <c r="I47" s="59"/>
      <c r="J47" s="56">
        <f t="shared" si="0"/>
        <v>0</v>
      </c>
      <c r="K47" s="59"/>
      <c r="L47" s="59"/>
      <c r="M47" s="59"/>
      <c r="N47" s="60">
        <f t="shared" si="1"/>
        <v>0</v>
      </c>
      <c r="O47" s="56">
        <f t="shared" si="2"/>
        <v>0</v>
      </c>
      <c r="P47" s="56">
        <f>IF(C47&lt;&gt;"",(((Prep!$L$13*Prep!$L$12)*F47)+N47),0)</f>
        <v>0</v>
      </c>
      <c r="Q47" s="61">
        <f t="shared" si="3"/>
        <v>0</v>
      </c>
    </row>
    <row r="48" spans="1:17" s="58" customFormat="1" x14ac:dyDescent="0.2">
      <c r="A48" s="16"/>
      <c r="B48" s="40"/>
      <c r="C48" s="40"/>
      <c r="D48" s="41"/>
      <c r="E48" s="41"/>
      <c r="F48" s="30"/>
      <c r="G48" s="59"/>
      <c r="H48" s="59"/>
      <c r="I48" s="59"/>
      <c r="J48" s="56">
        <f t="shared" si="0"/>
        <v>0</v>
      </c>
      <c r="K48" s="59"/>
      <c r="L48" s="59"/>
      <c r="M48" s="59"/>
      <c r="N48" s="60">
        <f t="shared" si="1"/>
        <v>0</v>
      </c>
      <c r="O48" s="56">
        <f t="shared" si="2"/>
        <v>0</v>
      </c>
      <c r="P48" s="56">
        <f>IF(C48&lt;&gt;"",(((Prep!$L$13*Prep!$L$12)*F48)+N48),0)</f>
        <v>0</v>
      </c>
      <c r="Q48" s="61">
        <f t="shared" si="3"/>
        <v>0</v>
      </c>
    </row>
    <row r="49" spans="1:17" s="58" customFormat="1" x14ac:dyDescent="0.2">
      <c r="A49" s="16"/>
      <c r="B49" s="40"/>
      <c r="C49" s="40"/>
      <c r="D49" s="41"/>
      <c r="E49" s="41"/>
      <c r="F49" s="30"/>
      <c r="G49" s="59"/>
      <c r="H49" s="59"/>
      <c r="I49" s="59"/>
      <c r="J49" s="56">
        <f t="shared" si="0"/>
        <v>0</v>
      </c>
      <c r="K49" s="59"/>
      <c r="L49" s="59"/>
      <c r="M49" s="59"/>
      <c r="N49" s="60">
        <f t="shared" si="1"/>
        <v>0</v>
      </c>
      <c r="O49" s="56">
        <f t="shared" si="2"/>
        <v>0</v>
      </c>
      <c r="P49" s="56">
        <f>IF(C49&lt;&gt;"",(((Prep!$L$13*Prep!$L$12)*F49)+N49),0)</f>
        <v>0</v>
      </c>
      <c r="Q49" s="61">
        <f t="shared" si="3"/>
        <v>0</v>
      </c>
    </row>
    <row r="50" spans="1:17" s="58" customFormat="1" x14ac:dyDescent="0.2">
      <c r="A50" s="16"/>
      <c r="B50" s="40"/>
      <c r="C50" s="40"/>
      <c r="D50" s="41"/>
      <c r="E50" s="41"/>
      <c r="F50" s="30"/>
      <c r="G50" s="59"/>
      <c r="H50" s="59"/>
      <c r="I50" s="59"/>
      <c r="J50" s="56">
        <f t="shared" si="0"/>
        <v>0</v>
      </c>
      <c r="K50" s="59"/>
      <c r="L50" s="59"/>
      <c r="M50" s="59"/>
      <c r="N50" s="60">
        <f t="shared" si="1"/>
        <v>0</v>
      </c>
      <c r="O50" s="56">
        <f t="shared" si="2"/>
        <v>0</v>
      </c>
      <c r="P50" s="56">
        <f>IF(C50&lt;&gt;"",(((Prep!$L$13*Prep!$L$12)*F50)+N50),0)</f>
        <v>0</v>
      </c>
      <c r="Q50" s="61">
        <f t="shared" si="3"/>
        <v>0</v>
      </c>
    </row>
    <row r="51" spans="1:17" s="58" customFormat="1" x14ac:dyDescent="0.2">
      <c r="A51" s="16"/>
      <c r="B51" s="40"/>
      <c r="C51" s="40"/>
      <c r="D51" s="41"/>
      <c r="E51" s="41"/>
      <c r="F51" s="30"/>
      <c r="G51" s="59"/>
      <c r="H51" s="59"/>
      <c r="I51" s="59"/>
      <c r="J51" s="56">
        <f t="shared" si="0"/>
        <v>0</v>
      </c>
      <c r="K51" s="59"/>
      <c r="L51" s="59"/>
      <c r="M51" s="59"/>
      <c r="N51" s="60">
        <f t="shared" si="1"/>
        <v>0</v>
      </c>
      <c r="O51" s="56">
        <f t="shared" si="2"/>
        <v>0</v>
      </c>
      <c r="P51" s="56">
        <f>IF(C51&lt;&gt;"",(((Prep!$L$13*Prep!$L$12)*F51)+N51),0)</f>
        <v>0</v>
      </c>
      <c r="Q51" s="61">
        <f t="shared" si="3"/>
        <v>0</v>
      </c>
    </row>
    <row r="52" spans="1:17" s="58" customFormat="1" x14ac:dyDescent="0.2">
      <c r="A52" s="16"/>
      <c r="B52" s="46"/>
      <c r="C52" s="46"/>
      <c r="D52" s="47"/>
      <c r="E52" s="47"/>
      <c r="F52" s="33"/>
      <c r="G52" s="59"/>
      <c r="H52" s="59"/>
      <c r="I52" s="64"/>
      <c r="J52" s="56">
        <f t="shared" si="0"/>
        <v>0</v>
      </c>
      <c r="K52" s="64"/>
      <c r="L52" s="59"/>
      <c r="M52" s="59"/>
      <c r="N52" s="60">
        <f t="shared" si="1"/>
        <v>0</v>
      </c>
      <c r="O52" s="56">
        <f t="shared" si="2"/>
        <v>0</v>
      </c>
      <c r="P52" s="56">
        <f>IF(C52&lt;&gt;"",(((Prep!$L$13*Prep!$L$12)*F52)+N52),0)</f>
        <v>0</v>
      </c>
      <c r="Q52" s="61">
        <f t="shared" si="3"/>
        <v>0</v>
      </c>
    </row>
    <row r="53" spans="1:17" s="58" customFormat="1" x14ac:dyDescent="0.2">
      <c r="A53" s="16"/>
      <c r="B53" s="40"/>
      <c r="C53" s="40"/>
      <c r="D53" s="41"/>
      <c r="E53" s="41"/>
      <c r="F53" s="30"/>
      <c r="G53" s="59"/>
      <c r="H53" s="59"/>
      <c r="I53" s="59"/>
      <c r="J53" s="56">
        <f t="shared" si="0"/>
        <v>0</v>
      </c>
      <c r="K53" s="59"/>
      <c r="L53" s="59"/>
      <c r="M53" s="59"/>
      <c r="N53" s="60">
        <f t="shared" si="1"/>
        <v>0</v>
      </c>
      <c r="O53" s="56">
        <f t="shared" si="2"/>
        <v>0</v>
      </c>
      <c r="P53" s="56">
        <f>IF(C53&lt;&gt;"",(((Prep!$L$13*Prep!$L$12)*F53)+N53),0)</f>
        <v>0</v>
      </c>
      <c r="Q53" s="61">
        <f t="shared" si="3"/>
        <v>0</v>
      </c>
    </row>
    <row r="54" spans="1:17" s="58" customFormat="1" x14ac:dyDescent="0.2">
      <c r="A54" s="16"/>
      <c r="B54" s="40"/>
      <c r="C54" s="40"/>
      <c r="D54" s="41"/>
      <c r="E54" s="41"/>
      <c r="F54" s="30"/>
      <c r="G54" s="59"/>
      <c r="H54" s="59"/>
      <c r="I54" s="59"/>
      <c r="J54" s="56">
        <f t="shared" si="0"/>
        <v>0</v>
      </c>
      <c r="K54" s="59"/>
      <c r="L54" s="59"/>
      <c r="M54" s="59"/>
      <c r="N54" s="60">
        <f t="shared" si="1"/>
        <v>0</v>
      </c>
      <c r="O54" s="56">
        <f t="shared" si="2"/>
        <v>0</v>
      </c>
      <c r="P54" s="56">
        <f>IF(C54&lt;&gt;"",(((Prep!$L$13*Prep!$L$12)*F54)+N54),0)</f>
        <v>0</v>
      </c>
      <c r="Q54" s="61">
        <f t="shared" si="3"/>
        <v>0</v>
      </c>
    </row>
    <row r="55" spans="1:17" s="58" customFormat="1" x14ac:dyDescent="0.2">
      <c r="A55" s="16"/>
      <c r="B55" s="40"/>
      <c r="C55" s="40"/>
      <c r="D55" s="41"/>
      <c r="E55" s="41"/>
      <c r="F55" s="30"/>
      <c r="G55" s="59"/>
      <c r="H55" s="59"/>
      <c r="I55" s="59"/>
      <c r="J55" s="56">
        <f t="shared" si="0"/>
        <v>0</v>
      </c>
      <c r="K55" s="59"/>
      <c r="L55" s="59"/>
      <c r="M55" s="59"/>
      <c r="N55" s="60">
        <f t="shared" si="1"/>
        <v>0</v>
      </c>
      <c r="O55" s="56">
        <f t="shared" si="2"/>
        <v>0</v>
      </c>
      <c r="P55" s="56">
        <f>IF(C55&lt;&gt;"",(((Prep!$L$13*Prep!$L$12)*F55)+N55),0)</f>
        <v>0</v>
      </c>
      <c r="Q55" s="61">
        <f t="shared" si="3"/>
        <v>0</v>
      </c>
    </row>
    <row r="56" spans="1:17" s="58" customFormat="1" x14ac:dyDescent="0.2">
      <c r="A56" s="16"/>
      <c r="B56" s="42"/>
      <c r="C56" s="42"/>
      <c r="D56" s="43"/>
      <c r="E56" s="43"/>
      <c r="F56" s="31"/>
      <c r="G56" s="59"/>
      <c r="H56" s="59"/>
      <c r="I56" s="59"/>
      <c r="J56" s="56">
        <f t="shared" si="0"/>
        <v>0</v>
      </c>
      <c r="K56" s="59"/>
      <c r="L56" s="59"/>
      <c r="M56" s="59"/>
      <c r="N56" s="60">
        <f t="shared" si="1"/>
        <v>0</v>
      </c>
      <c r="O56" s="56">
        <f t="shared" si="2"/>
        <v>0</v>
      </c>
      <c r="P56" s="56">
        <f>IF(C56&lt;&gt;"",(((Prep!$L$13*Prep!$L$12)*F56)+N56),0)</f>
        <v>0</v>
      </c>
      <c r="Q56" s="61">
        <f t="shared" si="3"/>
        <v>0</v>
      </c>
    </row>
    <row r="57" spans="1:17" s="58" customFormat="1" x14ac:dyDescent="0.2">
      <c r="A57" s="16"/>
      <c r="B57" s="40"/>
      <c r="C57" s="40"/>
      <c r="D57" s="41"/>
      <c r="E57" s="41"/>
      <c r="F57" s="30"/>
      <c r="G57" s="59"/>
      <c r="H57" s="59"/>
      <c r="I57" s="59"/>
      <c r="J57" s="56">
        <f t="shared" si="0"/>
        <v>0</v>
      </c>
      <c r="K57" s="59"/>
      <c r="L57" s="59"/>
      <c r="M57" s="59"/>
      <c r="N57" s="60">
        <f t="shared" si="1"/>
        <v>0</v>
      </c>
      <c r="O57" s="56">
        <f t="shared" si="2"/>
        <v>0</v>
      </c>
      <c r="P57" s="56">
        <f>IF(C57&lt;&gt;"",(((Prep!$L$13*Prep!$L$12)*F57)+N57),0)</f>
        <v>0</v>
      </c>
      <c r="Q57" s="61">
        <f t="shared" si="3"/>
        <v>0</v>
      </c>
    </row>
    <row r="58" spans="1:17" s="58" customFormat="1" x14ac:dyDescent="0.2">
      <c r="A58" s="16"/>
      <c r="B58" s="44"/>
      <c r="C58" s="44"/>
      <c r="D58" s="45"/>
      <c r="E58" s="45"/>
      <c r="F58" s="32"/>
      <c r="G58" s="59"/>
      <c r="H58" s="59"/>
      <c r="I58" s="62"/>
      <c r="J58" s="56">
        <f t="shared" si="0"/>
        <v>0</v>
      </c>
      <c r="K58" s="62"/>
      <c r="L58" s="59"/>
      <c r="M58" s="59"/>
      <c r="N58" s="60">
        <f t="shared" si="1"/>
        <v>0</v>
      </c>
      <c r="O58" s="56">
        <f t="shared" si="2"/>
        <v>0</v>
      </c>
      <c r="P58" s="63">
        <f>IF(C58&lt;&gt;"",(((Prep!$L$13*Prep!$L$12)*F58)+N58),0)</f>
        <v>0</v>
      </c>
      <c r="Q58" s="61">
        <f t="shared" si="3"/>
        <v>0</v>
      </c>
    </row>
    <row r="59" spans="1:17" s="58" customFormat="1" x14ac:dyDescent="0.2">
      <c r="A59" s="16"/>
      <c r="B59" s="46"/>
      <c r="C59" s="46"/>
      <c r="D59" s="47"/>
      <c r="E59" s="47"/>
      <c r="F59" s="33"/>
      <c r="G59" s="59"/>
      <c r="H59" s="59"/>
      <c r="I59" s="64"/>
      <c r="J59" s="56">
        <f t="shared" si="0"/>
        <v>0</v>
      </c>
      <c r="K59" s="64"/>
      <c r="L59" s="59"/>
      <c r="M59" s="59"/>
      <c r="N59" s="60">
        <f t="shared" si="1"/>
        <v>0</v>
      </c>
      <c r="O59" s="56">
        <f t="shared" si="2"/>
        <v>0</v>
      </c>
      <c r="P59" s="56">
        <f>IF(C59&lt;&gt;"",(((Prep!$L$13*Prep!$L$12)*F59)+N59),0)</f>
        <v>0</v>
      </c>
      <c r="Q59" s="61">
        <f t="shared" si="3"/>
        <v>0</v>
      </c>
    </row>
    <row r="60" spans="1:17" s="58" customFormat="1" x14ac:dyDescent="0.2">
      <c r="A60" s="16"/>
      <c r="B60" s="40"/>
      <c r="C60" s="40"/>
      <c r="D60" s="41"/>
      <c r="E60" s="41"/>
      <c r="F60" s="30"/>
      <c r="G60" s="59"/>
      <c r="H60" s="59"/>
      <c r="I60" s="65"/>
      <c r="J60" s="56">
        <f t="shared" si="0"/>
        <v>0</v>
      </c>
      <c r="K60" s="65"/>
      <c r="L60" s="59"/>
      <c r="M60" s="59"/>
      <c r="N60" s="60">
        <f t="shared" si="1"/>
        <v>0</v>
      </c>
      <c r="O60" s="56">
        <f t="shared" si="2"/>
        <v>0</v>
      </c>
      <c r="P60" s="56">
        <f>IF(C60&lt;&gt;"",(((Prep!$L$13*Prep!$L$12)*F60)+N60),0)</f>
        <v>0</v>
      </c>
      <c r="Q60" s="61">
        <f t="shared" si="3"/>
        <v>0</v>
      </c>
    </row>
    <row r="61" spans="1:17" s="58" customFormat="1" x14ac:dyDescent="0.2">
      <c r="A61" s="16"/>
      <c r="B61" s="40"/>
      <c r="C61" s="40"/>
      <c r="D61" s="41"/>
      <c r="E61" s="41"/>
      <c r="F61" s="30"/>
      <c r="G61" s="59"/>
      <c r="H61" s="59"/>
      <c r="I61" s="59"/>
      <c r="J61" s="56">
        <f t="shared" si="0"/>
        <v>0</v>
      </c>
      <c r="K61" s="59"/>
      <c r="L61" s="59"/>
      <c r="M61" s="59"/>
      <c r="N61" s="60">
        <f t="shared" si="1"/>
        <v>0</v>
      </c>
      <c r="O61" s="56">
        <f t="shared" si="2"/>
        <v>0</v>
      </c>
      <c r="P61" s="56">
        <f>IF(C61&lt;&gt;"",(((Prep!$L$13*Prep!$L$12)*F61)+N61),0)</f>
        <v>0</v>
      </c>
      <c r="Q61" s="61">
        <f t="shared" si="3"/>
        <v>0</v>
      </c>
    </row>
    <row r="62" spans="1:17" s="58" customFormat="1" x14ac:dyDescent="0.2">
      <c r="A62" s="16"/>
      <c r="B62" s="40"/>
      <c r="C62" s="40"/>
      <c r="D62" s="41"/>
      <c r="E62" s="41"/>
      <c r="F62" s="30"/>
      <c r="G62" s="66"/>
      <c r="H62" s="59"/>
      <c r="I62" s="59"/>
      <c r="J62" s="56">
        <f t="shared" si="0"/>
        <v>0</v>
      </c>
      <c r="K62" s="59"/>
      <c r="L62" s="59"/>
      <c r="M62" s="59"/>
      <c r="N62" s="60">
        <f t="shared" si="1"/>
        <v>0</v>
      </c>
      <c r="O62" s="56">
        <f t="shared" si="2"/>
        <v>0</v>
      </c>
      <c r="P62" s="56">
        <f>IF(C62&lt;&gt;"",(((Prep!$L$13*Prep!$L$12)*F62)+N62),0)</f>
        <v>0</v>
      </c>
      <c r="Q62" s="61">
        <f t="shared" si="3"/>
        <v>0</v>
      </c>
    </row>
    <row r="63" spans="1:17" s="58" customFormat="1" x14ac:dyDescent="0.2">
      <c r="A63" s="16"/>
      <c r="B63" s="40"/>
      <c r="C63" s="40"/>
      <c r="D63" s="41"/>
      <c r="E63" s="41"/>
      <c r="F63" s="30"/>
      <c r="G63" s="66"/>
      <c r="H63" s="59"/>
      <c r="I63" s="59"/>
      <c r="J63" s="56">
        <f t="shared" si="0"/>
        <v>0</v>
      </c>
      <c r="K63" s="59"/>
      <c r="L63" s="59"/>
      <c r="M63" s="59"/>
      <c r="N63" s="60">
        <f t="shared" si="1"/>
        <v>0</v>
      </c>
      <c r="O63" s="56">
        <f t="shared" si="2"/>
        <v>0</v>
      </c>
      <c r="P63" s="56">
        <f>IF(C63&lt;&gt;"",(((Prep!$L$13*Prep!$L$12)*F63)+N63),0)</f>
        <v>0</v>
      </c>
      <c r="Q63" s="61">
        <f t="shared" si="3"/>
        <v>0</v>
      </c>
    </row>
    <row r="64" spans="1:17" s="58" customFormat="1" x14ac:dyDescent="0.2">
      <c r="A64" s="16"/>
      <c r="B64" s="40"/>
      <c r="C64" s="40"/>
      <c r="D64" s="41"/>
      <c r="E64" s="41"/>
      <c r="F64" s="30"/>
      <c r="G64" s="66"/>
      <c r="H64" s="59"/>
      <c r="I64" s="59"/>
      <c r="J64" s="56">
        <f t="shared" si="0"/>
        <v>0</v>
      </c>
      <c r="K64" s="59"/>
      <c r="L64" s="59"/>
      <c r="M64" s="59"/>
      <c r="N64" s="60">
        <f t="shared" si="1"/>
        <v>0</v>
      </c>
      <c r="O64" s="56">
        <f t="shared" si="2"/>
        <v>0</v>
      </c>
      <c r="P64" s="56">
        <f>IF(C64&lt;&gt;"",(((Prep!$L$13*Prep!$L$12)*F64)+N64),0)</f>
        <v>0</v>
      </c>
      <c r="Q64" s="61">
        <f t="shared" si="3"/>
        <v>0</v>
      </c>
    </row>
    <row r="65" spans="1:17" s="58" customFormat="1" x14ac:dyDescent="0.2">
      <c r="A65" s="16"/>
      <c r="B65" s="40"/>
      <c r="C65" s="40"/>
      <c r="D65" s="41"/>
      <c r="E65" s="41"/>
      <c r="F65" s="30"/>
      <c r="G65" s="59"/>
      <c r="H65" s="59"/>
      <c r="I65" s="59"/>
      <c r="J65" s="56">
        <f t="shared" si="0"/>
        <v>0</v>
      </c>
      <c r="K65" s="59"/>
      <c r="L65" s="59"/>
      <c r="M65" s="59"/>
      <c r="N65" s="60">
        <f t="shared" si="1"/>
        <v>0</v>
      </c>
      <c r="O65" s="56">
        <f t="shared" si="2"/>
        <v>0</v>
      </c>
      <c r="P65" s="56">
        <f>IF(C65&lt;&gt;"",(((Prep!$L$13*Prep!$L$12)*F65)+N65),0)</f>
        <v>0</v>
      </c>
      <c r="Q65" s="61">
        <f t="shared" si="3"/>
        <v>0</v>
      </c>
    </row>
    <row r="66" spans="1:17" s="58" customFormat="1" x14ac:dyDescent="0.2">
      <c r="A66" s="16"/>
      <c r="B66" s="46"/>
      <c r="C66" s="46"/>
      <c r="D66" s="47"/>
      <c r="E66" s="47"/>
      <c r="F66" s="33"/>
      <c r="G66" s="64"/>
      <c r="H66" s="64"/>
      <c r="I66" s="64"/>
      <c r="J66" s="56">
        <f t="shared" si="0"/>
        <v>0</v>
      </c>
      <c r="K66" s="64"/>
      <c r="L66" s="59"/>
      <c r="M66" s="64"/>
      <c r="N66" s="60">
        <f t="shared" si="1"/>
        <v>0</v>
      </c>
      <c r="O66" s="56">
        <f t="shared" si="2"/>
        <v>0</v>
      </c>
      <c r="P66" s="56">
        <f>IF(C66&lt;&gt;"",(((Prep!$L$13*Prep!$L$12)*F66)+N66),0)</f>
        <v>0</v>
      </c>
      <c r="Q66" s="61">
        <f t="shared" si="3"/>
        <v>0</v>
      </c>
    </row>
    <row r="67" spans="1:17" s="58" customFormat="1" x14ac:dyDescent="0.2">
      <c r="A67" s="16"/>
      <c r="B67" s="46"/>
      <c r="C67" s="46"/>
      <c r="D67" s="47"/>
      <c r="E67" s="47"/>
      <c r="F67" s="33"/>
      <c r="G67" s="64"/>
      <c r="H67" s="64"/>
      <c r="I67" s="64"/>
      <c r="J67" s="56">
        <f t="shared" si="0"/>
        <v>0</v>
      </c>
      <c r="K67" s="64"/>
      <c r="L67" s="59"/>
      <c r="M67" s="64"/>
      <c r="N67" s="60">
        <f t="shared" si="1"/>
        <v>0</v>
      </c>
      <c r="O67" s="56">
        <f t="shared" si="2"/>
        <v>0</v>
      </c>
      <c r="P67" s="56">
        <f>IF(C67&lt;&gt;"",(((Prep!$L$13*Prep!$L$12)*F67)+N67),0)</f>
        <v>0</v>
      </c>
      <c r="Q67" s="61">
        <f t="shared" si="3"/>
        <v>0</v>
      </c>
    </row>
    <row r="68" spans="1:17" s="58" customFormat="1" ht="13.5" thickBot="1" x14ac:dyDescent="0.25">
      <c r="A68" s="16"/>
      <c r="B68" s="48"/>
      <c r="C68" s="48"/>
      <c r="D68" s="49"/>
      <c r="E68" s="49"/>
      <c r="F68" s="34"/>
      <c r="G68" s="67"/>
      <c r="H68" s="67"/>
      <c r="I68" s="67"/>
      <c r="J68" s="68">
        <f t="shared" si="0"/>
        <v>0</v>
      </c>
      <c r="K68" s="67"/>
      <c r="L68" s="67"/>
      <c r="M68" s="67"/>
      <c r="N68" s="69">
        <f t="shared" si="1"/>
        <v>0</v>
      </c>
      <c r="O68" s="68">
        <f t="shared" si="2"/>
        <v>0</v>
      </c>
      <c r="P68" s="68">
        <f>IF(C68&lt;&gt;"",(((Prep!$L$13*Prep!$L$12)*F68)+N68),0)</f>
        <v>0</v>
      </c>
      <c r="Q68" s="70">
        <f t="shared" si="3"/>
        <v>0</v>
      </c>
    </row>
    <row r="69" spans="1:17" ht="13.5" thickBot="1" x14ac:dyDescent="0.25">
      <c r="A69" s="16"/>
      <c r="B69" s="103" t="s">
        <v>58</v>
      </c>
      <c r="C69" s="104"/>
      <c r="D69" s="104"/>
      <c r="E69" s="104"/>
      <c r="F69" s="105"/>
      <c r="G69" s="35">
        <f t="shared" ref="G69:Q69" si="4">SUM(G21:G68)</f>
        <v>0</v>
      </c>
      <c r="H69" s="35">
        <f t="shared" si="4"/>
        <v>0</v>
      </c>
      <c r="I69" s="35">
        <f t="shared" si="4"/>
        <v>0</v>
      </c>
      <c r="J69" s="35">
        <f t="shared" si="4"/>
        <v>0</v>
      </c>
      <c r="K69" s="36">
        <f t="shared" si="4"/>
        <v>0</v>
      </c>
      <c r="L69" s="36">
        <f t="shared" si="4"/>
        <v>0</v>
      </c>
      <c r="M69" s="36">
        <f t="shared" si="4"/>
        <v>0</v>
      </c>
      <c r="N69" s="35">
        <f t="shared" si="4"/>
        <v>0</v>
      </c>
      <c r="O69" s="35">
        <f t="shared" si="4"/>
        <v>0</v>
      </c>
      <c r="P69" s="35">
        <f t="shared" si="4"/>
        <v>0</v>
      </c>
      <c r="Q69" s="35">
        <f t="shared" si="4"/>
        <v>0</v>
      </c>
    </row>
    <row r="70" spans="1:17" ht="14.25" x14ac:dyDescent="0.2">
      <c r="A70" s="16"/>
      <c r="B70" s="23" t="s">
        <v>52</v>
      </c>
      <c r="C70" s="24"/>
      <c r="D70" s="24"/>
      <c r="E70" s="24"/>
      <c r="F70" s="24"/>
      <c r="G70" s="8"/>
      <c r="H70" s="6"/>
      <c r="I70" s="6"/>
      <c r="J70" s="6"/>
      <c r="K70" s="6"/>
      <c r="L70" s="6"/>
      <c r="M70" s="6"/>
      <c r="N70" s="6"/>
      <c r="O70" s="6"/>
      <c r="P70" s="6"/>
      <c r="Q70" s="7"/>
    </row>
    <row r="71" spans="1:17" x14ac:dyDescent="0.2">
      <c r="A71" s="16"/>
      <c r="B71" s="16"/>
      <c r="C71" s="25"/>
      <c r="D71" s="25"/>
      <c r="E71" s="25"/>
      <c r="F71" s="25"/>
      <c r="G71" s="9"/>
      <c r="H71" s="9"/>
      <c r="I71" s="9"/>
      <c r="J71" s="9"/>
      <c r="K71" s="9"/>
      <c r="L71" s="6"/>
      <c r="M71" s="9"/>
      <c r="N71" s="9"/>
      <c r="O71" s="9"/>
      <c r="P71" s="9"/>
      <c r="Q71" s="10"/>
    </row>
    <row r="72" spans="1:17" ht="13.5" thickBot="1" x14ac:dyDescent="0.25">
      <c r="A72" s="16"/>
      <c r="B72" s="26" t="s">
        <v>53</v>
      </c>
      <c r="C72" s="27"/>
      <c r="D72" s="27"/>
      <c r="E72" s="27"/>
      <c r="F72" s="27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2"/>
    </row>
    <row r="79" spans="1:17" ht="12.75" customHeight="1" x14ac:dyDescent="0.2"/>
    <row r="80" spans="1:17" ht="12.75" customHeight="1" x14ac:dyDescent="0.2"/>
    <row r="81" ht="13.5" customHeight="1" x14ac:dyDescent="0.2"/>
    <row r="65532" spans="255:255" x14ac:dyDescent="0.2">
      <c r="IU65532" t="s">
        <v>68</v>
      </c>
    </row>
    <row r="65533" spans="255:255" x14ac:dyDescent="0.2">
      <c r="IU65533" t="s">
        <v>69</v>
      </c>
    </row>
    <row r="65534" spans="255:255" x14ac:dyDescent="0.2">
      <c r="IU65534" t="s">
        <v>11</v>
      </c>
    </row>
  </sheetData>
  <sheetProtection algorithmName="SHA-512" hashValue="9wMzuzrobTjQL9x/9HzOJTA5NNvPN8rUxfnVyLPO6RqNCAsIiWHETMI6KNzgorWLhkto0Sq8NCoiY9xzY/feAA==" saltValue="Px1cAUQFrY8B8uhUJqWkoQ==" spinCount="100000" sheet="1" objects="1" scenarios="1"/>
  <mergeCells count="28">
    <mergeCell ref="M18:M20"/>
    <mergeCell ref="G17:J17"/>
    <mergeCell ref="K17:N17"/>
    <mergeCell ref="B69:F69"/>
    <mergeCell ref="J18:J20"/>
    <mergeCell ref="H18:H20"/>
    <mergeCell ref="I18:I20"/>
    <mergeCell ref="C18:C20"/>
    <mergeCell ref="D18:D20"/>
    <mergeCell ref="B17:B20"/>
    <mergeCell ref="F17:F20"/>
    <mergeCell ref="G18:G20"/>
    <mergeCell ref="G2:M2"/>
    <mergeCell ref="H4:M4"/>
    <mergeCell ref="H6:M6"/>
    <mergeCell ref="E9:P9"/>
    <mergeCell ref="O18:O20"/>
    <mergeCell ref="C15:Q16"/>
    <mergeCell ref="P18:P20"/>
    <mergeCell ref="H11:I11"/>
    <mergeCell ref="Q18:Q20"/>
    <mergeCell ref="E10:M10"/>
    <mergeCell ref="N18:N20"/>
    <mergeCell ref="E12:P12"/>
    <mergeCell ref="C17:E17"/>
    <mergeCell ref="L18:L20"/>
    <mergeCell ref="E18:E20"/>
    <mergeCell ref="K18:K20"/>
  </mergeCells>
  <phoneticPr fontId="2" type="noConversion"/>
  <dataValidations count="1">
    <dataValidation type="whole" allowBlank="1" showInputMessage="1" showErrorMessage="1" error="Solo se pueden colocar numeros enteros de 0 a 31_x000a_" sqref="F21:F68">
      <formula1>0</formula1>
      <formula2>31</formula2>
    </dataValidation>
  </dataValidations>
  <pageMargins left="0.52" right="0.75" top="0.37" bottom="0.34" header="0" footer="0"/>
  <pageSetup paperSize="9" scale="29" orientation="landscape" r:id="rId1"/>
  <headerFooter alignWithMargins="0"/>
  <colBreaks count="2" manualBreakCount="2">
    <brk id="22" max="57" man="1"/>
    <brk id="26" max="89" man="1"/>
  </colBreaks>
  <drawing r:id="rId2"/>
  <legacyDrawing r:id="rId3"/>
  <controls>
    <mc:AlternateContent xmlns:mc="http://schemas.openxmlformats.org/markup-compatibility/2006">
      <mc:Choice Requires="x14">
        <control shapeId="3076" r:id="rId4" name="Validar">
          <controlPr defaultSize="0" print="0" autoLine="0" r:id="rId5">
            <anchor moveWithCells="1">
              <from>
                <xdr:col>16</xdr:col>
                <xdr:colOff>866775</xdr:colOff>
                <xdr:row>3</xdr:row>
                <xdr:rowOff>66675</xdr:rowOff>
              </from>
              <to>
                <xdr:col>17</xdr:col>
                <xdr:colOff>1209675</xdr:colOff>
                <xdr:row>6</xdr:row>
                <xdr:rowOff>95250</xdr:rowOff>
              </to>
            </anchor>
          </controlPr>
        </control>
      </mc:Choice>
      <mc:Fallback>
        <control shapeId="3076" r:id="rId4" name="Validar"/>
      </mc:Fallback>
    </mc:AlternateContent>
    <mc:AlternateContent xmlns:mc="http://schemas.openxmlformats.org/markup-compatibility/2006">
      <mc:Choice Requires="x14">
        <control shapeId="3075" r:id="rId6" name="Image1">
          <controlPr defaultSize="0" autoLine="0" r:id="rId7">
            <anchor moveWithCells="1">
              <from>
                <xdr:col>1</xdr:col>
                <xdr:colOff>2133600</xdr:colOff>
                <xdr:row>1</xdr:row>
                <xdr:rowOff>295275</xdr:rowOff>
              </from>
              <to>
                <xdr:col>2</xdr:col>
                <xdr:colOff>1057275</xdr:colOff>
                <xdr:row>7</xdr:row>
                <xdr:rowOff>104775</xdr:rowOff>
              </to>
            </anchor>
          </controlPr>
        </control>
      </mc:Choice>
      <mc:Fallback>
        <control shapeId="3075" r:id="rId6" name="Imag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CONET"/>
  <dimension ref="B2:J17"/>
  <sheetViews>
    <sheetView showGridLines="0" workbookViewId="0">
      <selection activeCell="E18" sqref="E18"/>
    </sheetView>
  </sheetViews>
  <sheetFormatPr defaultColWidth="11.42578125" defaultRowHeight="12.75" x14ac:dyDescent="0.2"/>
  <sheetData>
    <row r="2" spans="2:10" ht="34.5" x14ac:dyDescent="0.45">
      <c r="D2" s="115" t="s">
        <v>62</v>
      </c>
      <c r="E2" s="115"/>
      <c r="F2" s="115"/>
      <c r="G2" s="115"/>
      <c r="H2" s="115"/>
      <c r="I2" s="115"/>
    </row>
    <row r="3" spans="2:10" x14ac:dyDescent="0.2">
      <c r="D3" s="117" t="s">
        <v>63</v>
      </c>
      <c r="E3" s="117"/>
      <c r="F3" s="117"/>
      <c r="G3" s="117"/>
      <c r="H3" s="117"/>
      <c r="I3" s="117"/>
    </row>
    <row r="5" spans="2:10" ht="27" x14ac:dyDescent="0.35">
      <c r="C5" s="116" t="s">
        <v>64</v>
      </c>
      <c r="D5" s="116"/>
      <c r="E5" s="116"/>
      <c r="F5" s="116"/>
      <c r="G5" s="116"/>
      <c r="H5" s="116"/>
      <c r="I5" s="116"/>
      <c r="J5" s="116"/>
    </row>
    <row r="6" spans="2:10" ht="12" customHeight="1" x14ac:dyDescent="0.2"/>
    <row r="7" spans="2:10" ht="27" customHeight="1" x14ac:dyDescent="0.35">
      <c r="C7" s="116" t="s">
        <v>67</v>
      </c>
      <c r="D7" s="116"/>
      <c r="E7" s="116"/>
      <c r="F7" s="116"/>
      <c r="G7" s="116"/>
      <c r="H7" s="116"/>
      <c r="I7" s="116"/>
      <c r="J7" s="116"/>
    </row>
    <row r="8" spans="2:10" ht="27.75" customHeight="1" thickBot="1" x14ac:dyDescent="0.25"/>
    <row r="9" spans="2:10" ht="33" customHeight="1" x14ac:dyDescent="0.2">
      <c r="B9" s="106" t="s">
        <v>61</v>
      </c>
      <c r="C9" s="107"/>
      <c r="D9" s="107"/>
      <c r="E9" s="107"/>
      <c r="F9" s="107"/>
      <c r="G9" s="107"/>
      <c r="H9" s="107"/>
      <c r="I9" s="108"/>
    </row>
    <row r="10" spans="2:10" x14ac:dyDescent="0.2">
      <c r="B10" s="109"/>
      <c r="C10" s="110"/>
      <c r="D10" s="110"/>
      <c r="E10" s="110"/>
      <c r="F10" s="110"/>
      <c r="G10" s="110"/>
      <c r="H10" s="110"/>
      <c r="I10" s="111"/>
    </row>
    <row r="11" spans="2:10" x14ac:dyDescent="0.2">
      <c r="B11" s="109"/>
      <c r="C11" s="110"/>
      <c r="D11" s="110"/>
      <c r="E11" s="110"/>
      <c r="F11" s="110"/>
      <c r="G11" s="110"/>
      <c r="H11" s="110"/>
      <c r="I11" s="111"/>
    </row>
    <row r="12" spans="2:10" x14ac:dyDescent="0.2">
      <c r="B12" s="109"/>
      <c r="C12" s="110"/>
      <c r="D12" s="110"/>
      <c r="E12" s="110"/>
      <c r="F12" s="110"/>
      <c r="G12" s="110"/>
      <c r="H12" s="110"/>
      <c r="I12" s="111"/>
    </row>
    <row r="13" spans="2:10" ht="13.5" thickBot="1" x14ac:dyDescent="0.25">
      <c r="B13" s="112"/>
      <c r="C13" s="113"/>
      <c r="D13" s="113"/>
      <c r="E13" s="113"/>
      <c r="F13" s="113"/>
      <c r="G13" s="113"/>
      <c r="H13" s="113"/>
      <c r="I13" s="114"/>
    </row>
    <row r="17" spans="5:5" x14ac:dyDescent="0.2">
      <c r="E17" s="37" t="s">
        <v>101</v>
      </c>
    </row>
  </sheetData>
  <mergeCells count="5">
    <mergeCell ref="B9:I13"/>
    <mergeCell ref="D2:I2"/>
    <mergeCell ref="C5:J5"/>
    <mergeCell ref="C7:J7"/>
    <mergeCell ref="D3:I3"/>
  </mergeCells>
  <phoneticPr fontId="2" type="noConversion"/>
  <pageMargins left="0.75" right="0.75" top="1" bottom="1" header="0" footer="0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Image1">
          <controlPr defaultSize="0" autoLine="0" r:id="rId5">
            <anchor moveWithCells="1">
              <from>
                <xdr:col>0</xdr:col>
                <xdr:colOff>523875</xdr:colOff>
                <xdr:row>1</xdr:row>
                <xdr:rowOff>66675</xdr:rowOff>
              </from>
              <to>
                <xdr:col>2</xdr:col>
                <xdr:colOff>180975</xdr:colOff>
                <xdr:row>7</xdr:row>
                <xdr:rowOff>0</xdr:rowOff>
              </to>
            </anchor>
          </controlPr>
        </control>
      </mc:Choice>
      <mc:Fallback>
        <control shapeId="4097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G3"/>
  <sheetViews>
    <sheetView topLeftCell="DA1" workbookViewId="0">
      <selection activeCell="DA1" sqref="DA1"/>
    </sheetView>
  </sheetViews>
  <sheetFormatPr defaultColWidth="11.42578125" defaultRowHeight="12.75" x14ac:dyDescent="0.2"/>
  <cols>
    <col min="1" max="1" width="18.7109375" hidden="1" customWidth="1"/>
    <col min="2" max="2" width="0" hidden="1" customWidth="1"/>
    <col min="3" max="3" width="16.140625" hidden="1" customWidth="1"/>
    <col min="4" max="4" width="17.5703125" hidden="1" customWidth="1"/>
    <col min="5" max="6" width="0" hidden="1" customWidth="1"/>
    <col min="7" max="7" width="19.5703125" hidden="1" customWidth="1"/>
    <col min="8" max="104" width="0" hidden="1" customWidth="1"/>
  </cols>
  <sheetData>
    <row r="1" spans="1:59" x14ac:dyDescent="0.2">
      <c r="A1" t="s">
        <v>65</v>
      </c>
      <c r="BA1" t="s">
        <v>65</v>
      </c>
    </row>
    <row r="2" spans="1:59" x14ac:dyDescent="0.2">
      <c r="A2" t="s">
        <v>20</v>
      </c>
      <c r="B2" t="s">
        <v>21</v>
      </c>
      <c r="C2" t="s">
        <v>22</v>
      </c>
      <c r="D2" t="s">
        <v>23</v>
      </c>
      <c r="E2" t="s">
        <v>38</v>
      </c>
      <c r="F2" t="s">
        <v>57</v>
      </c>
      <c r="G2" t="s">
        <v>59</v>
      </c>
      <c r="H2" t="s">
        <v>60</v>
      </c>
      <c r="BA2" t="s">
        <v>20</v>
      </c>
      <c r="BB2" t="s">
        <v>21</v>
      </c>
      <c r="BC2" t="s">
        <v>22</v>
      </c>
      <c r="BD2" t="s">
        <v>23</v>
      </c>
      <c r="BE2" t="s">
        <v>38</v>
      </c>
      <c r="BF2" t="s">
        <v>57</v>
      </c>
      <c r="BG2" t="s">
        <v>59</v>
      </c>
    </row>
    <row r="3" spans="1:59" x14ac:dyDescent="0.2">
      <c r="A3" t="s">
        <v>66</v>
      </c>
    </row>
  </sheetData>
  <phoneticPr fontId="2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LI"/>
  <dimension ref="A1:IV7"/>
  <sheetViews>
    <sheetView topLeftCell="P1" workbookViewId="0">
      <selection activeCell="AB7" sqref="AB7"/>
    </sheetView>
  </sheetViews>
  <sheetFormatPr defaultColWidth="11.42578125" defaultRowHeight="12.75" x14ac:dyDescent="0.2"/>
  <cols>
    <col min="2" max="2" width="8.28515625" bestFit="1" customWidth="1"/>
    <col min="3" max="3" width="22.140625" bestFit="1" customWidth="1"/>
    <col min="4" max="4" width="8.140625" customWidth="1"/>
    <col min="5" max="5" width="2" bestFit="1" customWidth="1"/>
  </cols>
  <sheetData>
    <row r="1" spans="1:256" x14ac:dyDescent="0.2">
      <c r="A1" t="s">
        <v>10</v>
      </c>
      <c r="B1" t="s">
        <v>11</v>
      </c>
      <c r="C1" t="s">
        <v>12</v>
      </c>
      <c r="E1">
        <f>COUNTA(A:A)-1</f>
        <v>0</v>
      </c>
      <c r="AA1" s="71" t="s">
        <v>19</v>
      </c>
      <c r="AB1" s="71">
        <v>-1</v>
      </c>
    </row>
    <row r="2" spans="1:256" x14ac:dyDescent="0.2">
      <c r="AA2" s="71" t="s">
        <v>26</v>
      </c>
      <c r="AB2" s="71">
        <v>0</v>
      </c>
      <c r="IV2">
        <v>0</v>
      </c>
    </row>
    <row r="3" spans="1:256" x14ac:dyDescent="0.2">
      <c r="L3" t="s">
        <v>18</v>
      </c>
      <c r="M3" t="s">
        <v>14</v>
      </c>
      <c r="N3" t="s">
        <v>13</v>
      </c>
      <c r="AA3" s="71" t="s">
        <v>20</v>
      </c>
      <c r="AB3" s="71">
        <v>0</v>
      </c>
      <c r="IV3">
        <v>0</v>
      </c>
    </row>
    <row r="4" spans="1:256" x14ac:dyDescent="0.2">
      <c r="L4" t="s">
        <v>18</v>
      </c>
      <c r="M4" t="s">
        <v>15</v>
      </c>
      <c r="N4" t="s">
        <v>13</v>
      </c>
    </row>
    <row r="5" spans="1:256" x14ac:dyDescent="0.2">
      <c r="L5" t="s">
        <v>18</v>
      </c>
      <c r="M5" t="s">
        <v>16</v>
      </c>
      <c r="N5" t="s">
        <v>17</v>
      </c>
      <c r="AA5" s="71" t="s">
        <v>44</v>
      </c>
      <c r="AB5" s="71">
        <f>+COUNTA(Prep!E:E)-1</f>
        <v>0</v>
      </c>
    </row>
    <row r="6" spans="1:256" x14ac:dyDescent="0.2">
      <c r="AA6" s="71" t="s">
        <v>45</v>
      </c>
      <c r="AB6" s="71">
        <f>+COUNTA(Prep!F:F)-1</f>
        <v>0</v>
      </c>
    </row>
    <row r="7" spans="1:256" x14ac:dyDescent="0.2">
      <c r="AA7" s="71" t="s">
        <v>46</v>
      </c>
      <c r="AB7" s="71">
        <f>+COUNTA(Prep!G:G)-1</f>
        <v>0</v>
      </c>
    </row>
  </sheetData>
  <phoneticPr fontId="2" type="noConversion"/>
  <pageMargins left="0.75" right="0.75" top="1" bottom="1" header="0" footer="0"/>
  <pageSetup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Prep</vt:lpstr>
      <vt:lpstr>CEDULA_I</vt:lpstr>
      <vt:lpstr>SISCONET</vt:lpstr>
      <vt:lpstr>RCedI</vt:lpstr>
      <vt:lpstr>Val</vt:lpstr>
      <vt:lpstr>CEDULA_I!Print_Area</vt:lpstr>
      <vt:lpstr>CEDULA_I!Print_Titles</vt:lpstr>
      <vt:lpstr>Val!rbsqd</vt:lpstr>
    </vt:vector>
  </TitlesOfParts>
  <Company>Windows uE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Krlos</dc:creator>
  <cp:lastModifiedBy>Mariano Rodriguez Abarca</cp:lastModifiedBy>
  <cp:lastPrinted>2013-02-06T18:48:27Z</cp:lastPrinted>
  <dcterms:created xsi:type="dcterms:W3CDTF">2011-10-03T15:34:48Z</dcterms:created>
  <dcterms:modified xsi:type="dcterms:W3CDTF">2016-05-31T19:21:44Z</dcterms:modified>
</cp:coreProperties>
</file>