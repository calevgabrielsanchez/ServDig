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BE6F" lockStructure="1"/>
  <bookViews>
    <workbookView xWindow="120" yWindow="30" windowWidth="16515" windowHeight="8760" firstSheet="1" activeTab="1"/>
  </bookViews>
  <sheets>
    <sheet name="Prep" sheetId="7" state="hidden" r:id="rId1"/>
    <sheet name="CEDULA_G" sheetId="6" r:id="rId2"/>
    <sheet name="SISCONET" sheetId="9" state="hidden" r:id="rId3"/>
    <sheet name="RCedG" sheetId="8" state="hidden" r:id="rId4"/>
    <sheet name="Val" sheetId="2" state="hidden" r:id="rId5"/>
  </sheets>
  <functionGroups builtInGroupCount="17"/>
  <definedNames>
    <definedName name="_xlnm.Print_Area" localSheetId="1">CEDULA_G!$A$1:$N$45</definedName>
    <definedName name="_xlnm.Print_Titles" localSheetId="1">CEDULA_G!$1:$21</definedName>
  </definedNames>
  <calcPr calcId="145621"/>
</workbook>
</file>

<file path=xl/calcChain.xml><?xml version="1.0" encoding="utf-8"?>
<calcChain xmlns="http://schemas.openxmlformats.org/spreadsheetml/2006/main">
  <c r="J22" i="6" l="1"/>
  <c r="J23" i="6"/>
  <c r="J24" i="6"/>
  <c r="J25" i="6"/>
  <c r="J26" i="6"/>
  <c r="J27" i="6"/>
  <c r="J28" i="6"/>
  <c r="J29" i="6"/>
  <c r="J30" i="6"/>
  <c r="J31" i="6"/>
  <c r="J32" i="6"/>
  <c r="J33" i="6"/>
  <c r="M33" i="6"/>
  <c r="M31" i="6"/>
  <c r="M29" i="6"/>
  <c r="M27" i="6"/>
  <c r="M25" i="6"/>
  <c r="M23" i="6"/>
  <c r="I38" i="6"/>
  <c r="C36" i="6"/>
  <c r="D36" i="6"/>
  <c r="E36" i="6"/>
  <c r="F36" i="6"/>
  <c r="G36" i="6"/>
  <c r="H36" i="6"/>
  <c r="I36" i="6"/>
  <c r="K36" i="6"/>
  <c r="L36" i="6"/>
  <c r="J36" i="6" l="1"/>
  <c r="M36" i="6"/>
  <c r="O3" i="8"/>
  <c r="A14" i="8"/>
  <c r="A13" i="8"/>
  <c r="A12" i="8"/>
  <c r="A11" i="8"/>
  <c r="A10" i="8"/>
  <c r="A9" i="8"/>
  <c r="A8" i="8"/>
  <c r="A7" i="8"/>
  <c r="A6" i="8"/>
  <c r="A5" i="8"/>
  <c r="A4" i="8"/>
  <c r="A3" i="8"/>
  <c r="IV3" i="2" l="1"/>
  <c r="IV2" i="2"/>
  <c r="K1" i="6"/>
  <c r="V1" i="8"/>
  <c r="U1" i="8"/>
  <c r="L1" i="6"/>
  <c r="G1" i="6"/>
  <c r="F1" i="6" s="1"/>
  <c r="J1" i="6"/>
  <c r="E1" i="2"/>
  <c r="E1" i="6" l="1"/>
  <c r="I1" i="6"/>
  <c r="H1" i="6"/>
</calcChain>
</file>

<file path=xl/sharedStrings.xml><?xml version="1.0" encoding="utf-8"?>
<sst xmlns="http://schemas.openxmlformats.org/spreadsheetml/2006/main" count="109" uniqueCount="75">
  <si>
    <t>Instituto Mexicano del Seguro Social</t>
  </si>
  <si>
    <t>AL</t>
  </si>
  <si>
    <t>FOLIO DE CORRECCIÓN:</t>
  </si>
  <si>
    <t>EJERCICIO</t>
  </si>
  <si>
    <t>G</t>
  </si>
  <si>
    <t>MES</t>
  </si>
  <si>
    <t>CUOTA FIJA</t>
  </si>
  <si>
    <t>EXC 3 V S.M.G. D.F.</t>
  </si>
  <si>
    <t>PRESTACIONES EN DINERO</t>
  </si>
  <si>
    <t>GASTOS MÉDICOS</t>
  </si>
  <si>
    <t>RIESGOS DE TRABAJO</t>
  </si>
  <si>
    <t>INVALIDEZ Y VIDA</t>
  </si>
  <si>
    <t>GUARDERIAS Y PRESTACIONES SOCIALES</t>
  </si>
  <si>
    <t>TOTAL COP IMSS</t>
  </si>
  <si>
    <t>RETIRO</t>
  </si>
  <si>
    <t>CESANTÍA EN EDAD AVANZADA Y VEJEZ</t>
  </si>
  <si>
    <t>TOTAL RCV</t>
  </si>
  <si>
    <t>ENFERMEDADES Y MATERNIDAD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</si>
  <si>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</si>
  <si>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</si>
  <si>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</si>
  <si>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</si>
  <si>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</si>
  <si>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</si>
  <si>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</si>
  <si>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</si>
  <si>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</si>
  <si>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</si>
  <si>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</si>
  <si>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</si>
  <si>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C.O.P.</t>
  </si>
  <si>
    <t>FACTOR</t>
  </si>
  <si>
    <t>BASE</t>
  </si>
  <si>
    <t>C.O.P. PAGADAS</t>
  </si>
  <si>
    <t>H</t>
  </si>
  <si>
    <t>C</t>
  </si>
  <si>
    <t>V</t>
  </si>
  <si>
    <t>^([0-9]+|[0-9]*\.[0-9]+)$</t>
  </si>
  <si>
    <t>CEDULA_G</t>
  </si>
  <si>
    <t>C22:I33</t>
  </si>
  <si>
    <t>K22:L33</t>
  </si>
  <si>
    <t>Delegación</t>
  </si>
  <si>
    <t xml:space="preserve">Subdelegación </t>
  </si>
  <si>
    <t>Nombre o razón</t>
  </si>
  <si>
    <t>Folio de Correccion</t>
  </si>
  <si>
    <t>Ejercicio</t>
  </si>
  <si>
    <t>Per Ini</t>
  </si>
  <si>
    <t>Per Fin</t>
  </si>
  <si>
    <t>RP</t>
  </si>
  <si>
    <t>N</t>
  </si>
  <si>
    <t>CEDULA G</t>
  </si>
  <si>
    <t>DELEGACIÓN:</t>
  </si>
  <si>
    <t>SUBDELEGACIÓN:</t>
  </si>
  <si>
    <t>REGISTRO PATRONAL:</t>
  </si>
  <si>
    <t>GUARDERÍAS Y PRESTACIONES SOCIALES</t>
  </si>
  <si>
    <t>TOT_GUARDERÍAS Y PRESTACIONES SOCIALES</t>
  </si>
  <si>
    <t>BASE_GUARDERÍAS Y PRESTACIONES SOCIALES</t>
  </si>
  <si>
    <t>FACTOR_GUARDERÍAS Y PRESTACIONES SOCIALES</t>
  </si>
  <si>
    <t>PERIODO</t>
  </si>
  <si>
    <t>Para el buen funcionamiento de la plantilla es necesario habilitar macros</t>
  </si>
  <si>
    <t>Cédula G</t>
  </si>
  <si>
    <t>COP pagadas</t>
  </si>
  <si>
    <t>SISTEMA DE CORRECCIÓN EN LÍNEA</t>
  </si>
  <si>
    <t>Cedula A</t>
  </si>
  <si>
    <t>[-]</t>
  </si>
  <si>
    <t>XXX</t>
  </si>
  <si>
    <t>YYYYYY</t>
  </si>
  <si>
    <t>SADFASFA</t>
  </si>
  <si>
    <t>SISCONET</t>
  </si>
  <si>
    <t>CVE_ANEXOSOLCORRPAT</t>
  </si>
  <si>
    <t>Nota: La Base de Cotización Enterada resulta de la división del total de cuotas (C.O.P.) de la rama "Guarderías y Prestaciones Sociales, entre el factor  de 1%. Anexar copia del resumen de liquidación y comprobante de pago mensual y bimestral debidamente sellados por la entidad receptora, al "Acuse de Recibo de la presentación de la Corrección"</t>
  </si>
  <si>
    <t>NOMBRE O RAZÓN SOCIAL:</t>
  </si>
  <si>
    <t>PERÍODO QUE REGULARIZA:</t>
  </si>
  <si>
    <t>PERÍODO DEL:</t>
  </si>
  <si>
    <t>V 2.24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</si>
</sst>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_);\(&quot;$&quot;#,##0.00\)"/>
    <numFmt numFmtId="165" formatCode="_(&quot;$&quot;* #,##0.00_);_(&quot;$&quot;* \(#,##0.00\);_(&quot;$&quot;* &quot;-&quot;??_);_(@_)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6" fillId="0" borderId="5" xfId="0" applyFont="1" applyBorder="1" applyAlignment="1">
      <alignment horizontal="center" vertic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0" fillId="0" borderId="6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2" borderId="7" xfId="0" applyFill="1" applyBorder="1"/>
    <xf numFmtId="0" fontId="3" fillId="0" borderId="8" xfId="0" applyFont="1" applyFill="1" applyBorder="1" applyAlignment="1"/>
    <xf numFmtId="0" fontId="3" fillId="0" borderId="9" xfId="0" applyFont="1" applyFill="1" applyBorder="1" applyAlignment="1"/>
    <xf numFmtId="0" fontId="3" fillId="0" borderId="9" xfId="0" applyFont="1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0" fontId="0" fillId="0" borderId="10" xfId="0" applyFill="1" applyBorder="1"/>
    <xf numFmtId="0" fontId="0" fillId="0" borderId="11" xfId="0" applyFill="1" applyBorder="1"/>
    <xf numFmtId="0" fontId="3" fillId="0" borderId="12" xfId="0" applyFont="1" applyFill="1" applyBorder="1" applyAlignment="1">
      <alignment horizontal="left"/>
    </xf>
    <xf numFmtId="0" fontId="0" fillId="0" borderId="13" xfId="0" applyFill="1" applyBorder="1" applyAlignment="1">
      <alignment horizontal="left"/>
    </xf>
    <xf numFmtId="0" fontId="0" fillId="0" borderId="13" xfId="0" applyFill="1" applyBorder="1"/>
    <xf numFmtId="0" fontId="0" fillId="0" borderId="14" xfId="0" applyFill="1" applyBorder="1"/>
    <xf numFmtId="0" fontId="4" fillId="0" borderId="8" xfId="0" applyFont="1" applyFill="1" applyBorder="1" applyAlignment="1">
      <alignment horizontal="left"/>
    </xf>
    <xf numFmtId="0" fontId="0" fillId="0" borderId="0" xfId="0" quotePrefix="1"/>
    <xf numFmtId="0" fontId="6" fillId="0" borderId="15" xfId="0" applyFont="1" applyBorder="1" applyAlignment="1" applyProtection="1">
      <alignment horizontal="center"/>
      <protection hidden="1"/>
    </xf>
    <xf numFmtId="14" fontId="6" fillId="0" borderId="16" xfId="0" applyNumberFormat="1" applyFont="1" applyBorder="1" applyAlignment="1" applyProtection="1">
      <protection hidden="1"/>
    </xf>
    <xf numFmtId="14" fontId="6" fillId="0" borderId="16" xfId="0" applyNumberFormat="1" applyFont="1" applyBorder="1" applyProtection="1">
      <protection hidden="1"/>
    </xf>
    <xf numFmtId="0" fontId="8" fillId="0" borderId="1" xfId="0" applyNumberFormat="1" applyFont="1" applyBorder="1" applyProtection="1">
      <protection hidden="1"/>
    </xf>
    <xf numFmtId="0" fontId="8" fillId="0" borderId="1" xfId="0" applyNumberFormat="1" applyFont="1" applyBorder="1" applyProtection="1"/>
    <xf numFmtId="0" fontId="8" fillId="2" borderId="17" xfId="0" applyNumberFormat="1" applyFont="1" applyFill="1" applyBorder="1" applyProtection="1"/>
    <xf numFmtId="0" fontId="8" fillId="0" borderId="6" xfId="0" applyNumberFormat="1" applyFont="1" applyBorder="1" applyProtection="1"/>
    <xf numFmtId="0" fontId="8" fillId="0" borderId="0" xfId="0" applyNumberFormat="1" applyFont="1" applyBorder="1" applyProtection="1"/>
    <xf numFmtId="0" fontId="8" fillId="0" borderId="0" xfId="0" applyNumberFormat="1" applyFont="1" applyProtection="1"/>
    <xf numFmtId="0" fontId="4" fillId="0" borderId="18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left"/>
    </xf>
    <xf numFmtId="0" fontId="0" fillId="3" borderId="24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25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8" fillId="0" borderId="0" xfId="0" applyFont="1"/>
    <xf numFmtId="0" fontId="8" fillId="0" borderId="26" xfId="0" applyNumberFormat="1" applyFont="1" applyBorder="1" applyProtection="1">
      <protection hidden="1"/>
    </xf>
    <xf numFmtId="0" fontId="8" fillId="0" borderId="27" xfId="0" applyFont="1" applyBorder="1" applyProtection="1">
      <protection hidden="1"/>
    </xf>
    <xf numFmtId="0" fontId="8" fillId="0" borderId="27" xfId="0" applyFont="1" applyFill="1" applyBorder="1" applyProtection="1">
      <protection hidden="1"/>
    </xf>
    <xf numFmtId="0" fontId="8" fillId="0" borderId="28" xfId="0" applyFont="1" applyBorder="1" applyProtection="1">
      <protection hidden="1"/>
    </xf>
    <xf numFmtId="0" fontId="2" fillId="0" borderId="0" xfId="0" applyFont="1" applyBorder="1" applyAlignment="1">
      <alignment horizontal="center" vertical="center"/>
    </xf>
    <xf numFmtId="0" fontId="1" fillId="0" borderId="0" xfId="0" applyNumberFormat="1" applyFont="1" applyFill="1" applyBorder="1" applyAlignment="1"/>
    <xf numFmtId="0" fontId="1" fillId="0" borderId="0" xfId="0" applyFont="1"/>
    <xf numFmtId="9" fontId="0" fillId="0" borderId="16" xfId="2" applyFont="1" applyFill="1" applyBorder="1" applyProtection="1"/>
    <xf numFmtId="164" fontId="0" fillId="0" borderId="29" xfId="1" applyNumberFormat="1" applyFont="1" applyFill="1" applyBorder="1" applyAlignment="1" applyProtection="1">
      <protection locked="0"/>
    </xf>
    <xf numFmtId="164" fontId="0" fillId="0" borderId="29" xfId="1" applyNumberFormat="1" applyFont="1" applyFill="1" applyBorder="1" applyAlignment="1" applyProtection="1">
      <protection hidden="1"/>
    </xf>
    <xf numFmtId="164" fontId="0" fillId="0" borderId="10" xfId="1" applyNumberFormat="1" applyFont="1" applyFill="1" applyBorder="1" applyAlignment="1" applyProtection="1">
      <protection locked="0"/>
    </xf>
    <xf numFmtId="164" fontId="0" fillId="0" borderId="10" xfId="1" applyNumberFormat="1" applyFont="1" applyFill="1" applyBorder="1" applyAlignment="1" applyProtection="1">
      <protection hidden="1"/>
    </xf>
    <xf numFmtId="164" fontId="0" fillId="0" borderId="30" xfId="1" applyNumberFormat="1" applyFont="1" applyFill="1" applyBorder="1" applyAlignment="1" applyProtection="1">
      <protection hidden="1"/>
    </xf>
    <xf numFmtId="164" fontId="0" fillId="0" borderId="31" xfId="0" applyNumberFormat="1" applyFill="1" applyBorder="1" applyAlignment="1" applyProtection="1">
      <alignment horizontal="left"/>
      <protection hidden="1"/>
    </xf>
    <xf numFmtId="164" fontId="0" fillId="0" borderId="29" xfId="0" applyNumberFormat="1" applyFill="1" applyBorder="1" applyAlignment="1" applyProtection="1">
      <alignment horizontal="left"/>
      <protection hidden="1"/>
    </xf>
    <xf numFmtId="164" fontId="0" fillId="0" borderId="32" xfId="0" applyNumberFormat="1" applyFill="1" applyBorder="1" applyAlignment="1" applyProtection="1">
      <alignment horizontal="left"/>
      <protection hidden="1"/>
    </xf>
    <xf numFmtId="164" fontId="0" fillId="0" borderId="33" xfId="1" applyNumberFormat="1" applyFont="1" applyFill="1" applyBorder="1" applyAlignment="1" applyProtection="1">
      <alignment horizontal="left"/>
      <protection hidden="1"/>
    </xf>
    <xf numFmtId="164" fontId="0" fillId="0" borderId="34" xfId="1" applyNumberFormat="1" applyFont="1" applyFill="1" applyBorder="1" applyAlignment="1" applyProtection="1">
      <protection locked="0"/>
    </xf>
    <xf numFmtId="164" fontId="0" fillId="0" borderId="35" xfId="1" applyNumberFormat="1" applyFont="1" applyFill="1" applyBorder="1" applyAlignment="1" applyProtection="1">
      <protection hidden="1"/>
    </xf>
    <xf numFmtId="0" fontId="5" fillId="0" borderId="0" xfId="0" applyFont="1"/>
    <xf numFmtId="0" fontId="0" fillId="4" borderId="0" xfId="0" applyFill="1"/>
    <xf numFmtId="0" fontId="0" fillId="5" borderId="0" xfId="0" applyFill="1"/>
    <xf numFmtId="0" fontId="0" fillId="2" borderId="0" xfId="0" applyFill="1"/>
    <xf numFmtId="14" fontId="2" fillId="0" borderId="0" xfId="0" applyNumberFormat="1" applyFont="1" applyBorder="1" applyAlignment="1">
      <alignment horizontal="center" vertical="center"/>
    </xf>
    <xf numFmtId="0" fontId="0" fillId="0" borderId="0" xfId="0" applyFill="1"/>
    <xf numFmtId="9" fontId="0" fillId="3" borderId="20" xfId="2" applyFont="1" applyFill="1" applyBorder="1" applyAlignment="1" applyProtection="1">
      <alignment horizontal="left"/>
      <protection hidden="1"/>
    </xf>
    <xf numFmtId="9" fontId="0" fillId="3" borderId="21" xfId="2" applyFont="1" applyFill="1" applyBorder="1" applyAlignment="1" applyProtection="1">
      <alignment horizontal="left"/>
      <protection hidden="1"/>
    </xf>
    <xf numFmtId="9" fontId="0" fillId="3" borderId="22" xfId="2" applyFont="1" applyFill="1" applyBorder="1" applyAlignment="1" applyProtection="1">
      <alignment horizontal="left"/>
      <protection hidden="1"/>
    </xf>
    <xf numFmtId="9" fontId="0" fillId="3" borderId="20" xfId="2" applyFont="1" applyFill="1" applyBorder="1" applyProtection="1">
      <protection hidden="1"/>
    </xf>
    <xf numFmtId="9" fontId="0" fillId="3" borderId="21" xfId="2" applyFont="1" applyFill="1" applyBorder="1" applyProtection="1">
      <protection hidden="1"/>
    </xf>
    <xf numFmtId="9" fontId="0" fillId="3" borderId="23" xfId="2" applyFont="1" applyFill="1" applyBorder="1" applyProtection="1">
      <protection hidden="1"/>
    </xf>
    <xf numFmtId="0" fontId="9" fillId="0" borderId="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65" fontId="0" fillId="3" borderId="30" xfId="1" applyFont="1" applyFill="1" applyBorder="1" applyAlignment="1" applyProtection="1">
      <alignment horizontal="center"/>
      <protection hidden="1"/>
    </xf>
    <xf numFmtId="165" fontId="0" fillId="3" borderId="16" xfId="1" applyFont="1" applyFill="1" applyBorder="1" applyAlignment="1" applyProtection="1">
      <alignment horizontal="center"/>
      <protection hidden="1"/>
    </xf>
    <xf numFmtId="165" fontId="0" fillId="3" borderId="36" xfId="1" applyFont="1" applyFill="1" applyBorder="1" applyAlignment="1" applyProtection="1">
      <alignment horizontal="center"/>
      <protection hidden="1"/>
    </xf>
    <xf numFmtId="0" fontId="4" fillId="3" borderId="37" xfId="0" applyFont="1" applyFill="1" applyBorder="1" applyAlignment="1">
      <alignment horizontal="center" vertical="top" wrapText="1"/>
    </xf>
    <xf numFmtId="0" fontId="4" fillId="3" borderId="38" xfId="0" applyFont="1" applyFill="1" applyBorder="1" applyAlignment="1">
      <alignment horizontal="center" vertical="top" wrapText="1"/>
    </xf>
    <xf numFmtId="165" fontId="0" fillId="3" borderId="39" xfId="1" applyFont="1" applyFill="1" applyBorder="1" applyAlignment="1" applyProtection="1">
      <alignment horizontal="center"/>
      <protection hidden="1"/>
    </xf>
    <xf numFmtId="165" fontId="0" fillId="3" borderId="40" xfId="1" applyFont="1" applyFill="1" applyBorder="1" applyAlignment="1" applyProtection="1">
      <alignment horizontal="center"/>
      <protection hidden="1"/>
    </xf>
    <xf numFmtId="165" fontId="0" fillId="3" borderId="41" xfId="1" applyFont="1" applyFill="1" applyBorder="1" applyAlignment="1" applyProtection="1">
      <alignment horizontal="center"/>
      <protection hidden="1"/>
    </xf>
    <xf numFmtId="0" fontId="5" fillId="0" borderId="0" xfId="0" applyFont="1" applyBorder="1" applyAlignment="1">
      <alignment horizontal="right"/>
    </xf>
    <xf numFmtId="0" fontId="4" fillId="3" borderId="37" xfId="0" applyFont="1" applyFill="1" applyBorder="1" applyAlignment="1">
      <alignment horizontal="center" vertical="center" wrapText="1"/>
    </xf>
    <xf numFmtId="0" fontId="4" fillId="3" borderId="42" xfId="0" applyFont="1" applyFill="1" applyBorder="1" applyAlignment="1">
      <alignment horizontal="center" vertical="center" wrapText="1"/>
    </xf>
    <xf numFmtId="0" fontId="4" fillId="3" borderId="38" xfId="0" applyFont="1" applyFill="1" applyBorder="1" applyAlignment="1">
      <alignment horizontal="center" vertical="center" wrapText="1"/>
    </xf>
    <xf numFmtId="0" fontId="6" fillId="0" borderId="15" xfId="0" applyFont="1" applyBorder="1" applyAlignment="1" applyProtection="1">
      <alignment horizontal="left"/>
      <protection hidden="1"/>
    </xf>
    <xf numFmtId="0" fontId="5" fillId="0" borderId="21" xfId="0" applyFont="1" applyBorder="1" applyAlignment="1">
      <alignment horizontal="center"/>
    </xf>
    <xf numFmtId="0" fontId="6" fillId="0" borderId="15" xfId="0" applyNumberFormat="1" applyFont="1" applyBorder="1" applyAlignment="1">
      <alignment horizontal="left"/>
    </xf>
    <xf numFmtId="0" fontId="6" fillId="2" borderId="43" xfId="0" applyFont="1" applyFill="1" applyBorder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4" fillId="3" borderId="17" xfId="0" applyFont="1" applyFill="1" applyBorder="1" applyAlignment="1">
      <alignment horizontal="center" vertical="center"/>
    </xf>
    <xf numFmtId="0" fontId="4" fillId="3" borderId="4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3" borderId="38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6" fillId="0" borderId="15" xfId="0" applyFont="1" applyBorder="1" applyAlignment="1" applyProtection="1">
      <alignment horizontal="center"/>
      <protection hidden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744683</xdr:colOff>
      <xdr:row>3</xdr:row>
      <xdr:rowOff>207818</xdr:rowOff>
    </xdr:from>
    <xdr:to>
      <xdr:col>13</xdr:col>
      <xdr:colOff>503094</xdr:colOff>
      <xdr:row>7</xdr:row>
      <xdr:rowOff>149802</xdr:rowOff>
    </xdr:to>
    <xdr:pic macro="[0]!generartxtCedulaG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1" y="848591"/>
          <a:ext cx="2390775" cy="703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76200</xdr:rowOff>
        </xdr:from>
        <xdr:to>
          <xdr:col>1</xdr:col>
          <xdr:colOff>942975</xdr:colOff>
          <xdr:row>6</xdr:row>
          <xdr:rowOff>66675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3</xdr:row>
          <xdr:rowOff>219075</xdr:rowOff>
        </xdr:from>
        <xdr:to>
          <xdr:col>11</xdr:col>
          <xdr:colOff>504825</xdr:colOff>
          <xdr:row>6</xdr:row>
          <xdr:rowOff>142875</xdr:rowOff>
        </xdr:to>
        <xdr:sp macro="" textlink="">
          <xdr:nvSpPr>
            <xdr:cNvPr id="3076" name="Valida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4097" name="Imag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30"/>
  <sheetViews>
    <sheetView workbookViewId="0">
      <selection activeCell="L10" sqref="L10"/>
    </sheetView>
  </sheetViews>
  <sheetFormatPr baseColWidth="10" defaultRowHeight="12.75" x14ac:dyDescent="0.2"/>
  <cols>
    <col min="2" max="2" width="12.28515625" bestFit="1" customWidth="1"/>
    <col min="11" max="11" width="17.140625" bestFit="1" customWidth="1"/>
  </cols>
  <sheetData>
    <row r="1" spans="1:12" x14ac:dyDescent="0.2">
      <c r="A1" t="s">
        <v>50</v>
      </c>
      <c r="J1" t="s">
        <v>36</v>
      </c>
      <c r="L1" s="48"/>
    </row>
    <row r="2" spans="1:12" x14ac:dyDescent="0.2">
      <c r="A2" t="s">
        <v>49</v>
      </c>
      <c r="B2" t="s">
        <v>48</v>
      </c>
      <c r="L2" s="48"/>
    </row>
    <row r="3" spans="1:12" x14ac:dyDescent="0.2">
      <c r="A3">
        <v>-1</v>
      </c>
      <c r="K3" t="s">
        <v>41</v>
      </c>
      <c r="L3" s="47" t="s">
        <v>65</v>
      </c>
    </row>
    <row r="4" spans="1:12" x14ac:dyDescent="0.2">
      <c r="A4" s="67"/>
      <c r="B4" s="26"/>
      <c r="K4" t="s">
        <v>42</v>
      </c>
      <c r="L4" s="47" t="s">
        <v>66</v>
      </c>
    </row>
    <row r="5" spans="1:12" x14ac:dyDescent="0.2">
      <c r="A5" s="67"/>
      <c r="K5" t="s">
        <v>43</v>
      </c>
      <c r="L5" s="47" t="s">
        <v>67</v>
      </c>
    </row>
    <row r="6" spans="1:12" x14ac:dyDescent="0.2">
      <c r="K6" t="s">
        <v>44</v>
      </c>
      <c r="L6" s="47">
        <v>1234</v>
      </c>
    </row>
    <row r="7" spans="1:12" x14ac:dyDescent="0.2">
      <c r="K7" t="s">
        <v>45</v>
      </c>
      <c r="L7" s="47">
        <v>2011</v>
      </c>
    </row>
    <row r="8" spans="1:12" x14ac:dyDescent="0.2">
      <c r="K8" t="s">
        <v>46</v>
      </c>
      <c r="L8" s="66">
        <v>40909</v>
      </c>
    </row>
    <row r="9" spans="1:12" x14ac:dyDescent="0.2">
      <c r="K9" t="s">
        <v>47</v>
      </c>
      <c r="L9" s="66">
        <v>41244</v>
      </c>
    </row>
    <row r="10" spans="1:12" x14ac:dyDescent="0.2">
      <c r="D10" s="63">
        <v>3</v>
      </c>
      <c r="K10" t="s">
        <v>48</v>
      </c>
      <c r="L10" s="47" t="s">
        <v>48</v>
      </c>
    </row>
    <row r="11" spans="1:12" x14ac:dyDescent="0.2">
      <c r="A11" s="48"/>
      <c r="B11" s="48"/>
      <c r="C11" s="48"/>
      <c r="D11" s="49"/>
      <c r="E11" s="49"/>
      <c r="F11" s="49"/>
      <c r="G11" s="49"/>
      <c r="H11" s="49"/>
      <c r="I11" s="49"/>
      <c r="J11" s="49"/>
      <c r="K11" s="49"/>
      <c r="L11" s="48"/>
    </row>
    <row r="12" spans="1:12" x14ac:dyDescent="0.2">
      <c r="A12" s="48"/>
      <c r="B12" s="48"/>
      <c r="C12" s="48"/>
      <c r="D12" s="49"/>
      <c r="E12" s="49"/>
      <c r="F12" s="49"/>
      <c r="G12" s="49"/>
      <c r="H12" s="49"/>
      <c r="I12" s="49"/>
      <c r="J12" s="49"/>
      <c r="K12" s="49"/>
      <c r="L12" s="48"/>
    </row>
    <row r="13" spans="1:12" x14ac:dyDescent="0.2">
      <c r="A13" s="48"/>
      <c r="B13" s="48"/>
      <c r="C13" s="48"/>
      <c r="D13" s="49"/>
      <c r="E13" s="49"/>
      <c r="F13" s="49"/>
      <c r="G13" s="49"/>
      <c r="H13" s="49"/>
      <c r="I13" s="49"/>
      <c r="J13" s="49"/>
      <c r="K13" s="49"/>
      <c r="L13" s="48"/>
    </row>
    <row r="14" spans="1:12" x14ac:dyDescent="0.2">
      <c r="D14" s="64">
        <v>1</v>
      </c>
    </row>
    <row r="15" spans="1:12" x14ac:dyDescent="0.2">
      <c r="D15" s="65">
        <v>0</v>
      </c>
    </row>
    <row r="30" spans="1:1" x14ac:dyDescent="0.2">
      <c r="A30">
        <v>3</v>
      </c>
    </row>
  </sheetData>
  <phoneticPr fontId="2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EDA_02"/>
  <dimension ref="A1:N44"/>
  <sheetViews>
    <sheetView showGridLines="0" showRowColHeaders="0" tabSelected="1" view="pageBreakPreview" zoomScale="55" zoomScaleNormal="70" zoomScaleSheetLayoutView="55" workbookViewId="0">
      <selection activeCell="I37" sqref="I37"/>
    </sheetView>
  </sheetViews>
  <sheetFormatPr baseColWidth="10" defaultRowHeight="12.75" x14ac:dyDescent="0.2"/>
  <cols>
    <col min="1" max="1" width="11.42578125" style="35"/>
    <col min="2" max="13" width="19.85546875" customWidth="1"/>
  </cols>
  <sheetData>
    <row r="1" spans="1:14" s="42" customFormat="1" ht="13.5" thickBot="1" x14ac:dyDescent="0.25">
      <c r="A1" s="43"/>
      <c r="B1" s="44"/>
      <c r="C1" s="44"/>
      <c r="D1" s="44"/>
      <c r="E1" s="44">
        <f>G1-22+1</f>
        <v>23</v>
      </c>
      <c r="F1" s="45">
        <f>G1-12+1</f>
        <v>33</v>
      </c>
      <c r="G1" s="45">
        <f>ROW(B43)+1</f>
        <v>44</v>
      </c>
      <c r="H1" s="45" t="str">
        <f ca="1">CONCATENATE("$A$1:",ADDRESS(G1,J1))</f>
        <v>$A$1:$N$44</v>
      </c>
      <c r="I1" s="45" t="str">
        <f ca="1">CONCATENATE("$A$1:",ADDRESS(K1,J1))</f>
        <v>$A$1:$N$45</v>
      </c>
      <c r="J1" s="45">
        <f ca="1">CELL("Col",N38)</f>
        <v>14</v>
      </c>
      <c r="K1" s="45">
        <f>ROW(N45)</f>
        <v>45</v>
      </c>
      <c r="L1" s="45" t="str">
        <f ca="1">CELL("address",N45)</f>
        <v>$N$45</v>
      </c>
      <c r="M1" s="44"/>
      <c r="N1" s="46"/>
    </row>
    <row r="2" spans="1:14" ht="24" thickBot="1" x14ac:dyDescent="0.4">
      <c r="A2" s="31"/>
      <c r="B2" s="1"/>
      <c r="C2" s="74" t="s">
        <v>0</v>
      </c>
      <c r="D2" s="74"/>
      <c r="E2" s="74"/>
      <c r="F2" s="74"/>
      <c r="G2" s="74"/>
      <c r="H2" s="74"/>
      <c r="I2" s="74"/>
      <c r="J2" s="74"/>
      <c r="K2" s="75"/>
      <c r="L2" s="8" t="s">
        <v>4</v>
      </c>
      <c r="M2" s="1"/>
      <c r="N2" s="3"/>
    </row>
    <row r="3" spans="1:14" x14ac:dyDescent="0.2">
      <c r="A3" s="3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3"/>
    </row>
    <row r="4" spans="1:14" ht="18" x14ac:dyDescent="0.25">
      <c r="A4" s="31"/>
      <c r="B4" s="1"/>
      <c r="C4" s="101" t="s">
        <v>51</v>
      </c>
      <c r="D4" s="101"/>
      <c r="E4" s="102" t="s">
        <v>65</v>
      </c>
      <c r="F4" s="102"/>
      <c r="G4" s="102"/>
      <c r="H4" s="102"/>
      <c r="I4" s="102"/>
      <c r="J4" s="102"/>
      <c r="K4" s="1"/>
      <c r="L4" s="1"/>
      <c r="M4" s="1"/>
      <c r="N4" s="3"/>
    </row>
    <row r="5" spans="1:14" x14ac:dyDescent="0.2">
      <c r="A5" s="3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3"/>
    </row>
    <row r="6" spans="1:14" ht="18" x14ac:dyDescent="0.25">
      <c r="A6" s="31"/>
      <c r="B6" s="1"/>
      <c r="C6" s="101" t="s">
        <v>52</v>
      </c>
      <c r="D6" s="101"/>
      <c r="E6" s="102" t="s">
        <v>66</v>
      </c>
      <c r="F6" s="102"/>
      <c r="G6" s="102"/>
      <c r="H6" s="102"/>
      <c r="I6" s="102"/>
      <c r="J6" s="102"/>
      <c r="K6" s="1"/>
      <c r="L6" s="1"/>
      <c r="M6" s="1"/>
      <c r="N6" s="3"/>
    </row>
    <row r="7" spans="1:14" x14ac:dyDescent="0.2">
      <c r="A7" s="3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3"/>
    </row>
    <row r="8" spans="1:14" x14ac:dyDescent="0.2">
      <c r="A8" s="3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3"/>
    </row>
    <row r="9" spans="1:14" ht="22.5" customHeight="1" x14ac:dyDescent="0.25">
      <c r="A9" s="31"/>
      <c r="B9" s="84" t="s">
        <v>71</v>
      </c>
      <c r="C9" s="84"/>
      <c r="D9" s="84"/>
      <c r="E9" s="88" t="s">
        <v>67</v>
      </c>
      <c r="F9" s="88"/>
      <c r="G9" s="88"/>
      <c r="H9" s="88"/>
      <c r="I9" s="88"/>
      <c r="J9" s="88"/>
      <c r="K9" s="88"/>
      <c r="L9" s="88"/>
      <c r="M9" s="1"/>
      <c r="N9" s="3"/>
    </row>
    <row r="10" spans="1:14" ht="22.5" customHeight="1" x14ac:dyDescent="0.25">
      <c r="A10" s="31"/>
      <c r="B10" s="84" t="s">
        <v>2</v>
      </c>
      <c r="C10" s="84"/>
      <c r="D10" s="84"/>
      <c r="E10" s="88">
        <v>1234</v>
      </c>
      <c r="F10" s="88"/>
      <c r="G10" s="88"/>
      <c r="H10" s="88"/>
      <c r="I10" s="88"/>
      <c r="J10" s="88"/>
      <c r="K10" s="88"/>
      <c r="L10" s="88"/>
      <c r="M10" s="1"/>
      <c r="N10" s="3"/>
    </row>
    <row r="11" spans="1:14" ht="22.5" customHeight="1" x14ac:dyDescent="0.25">
      <c r="A11" s="31"/>
      <c r="B11" s="84" t="s">
        <v>72</v>
      </c>
      <c r="C11" s="84"/>
      <c r="D11" s="84"/>
      <c r="E11" s="10" t="s">
        <v>3</v>
      </c>
      <c r="F11" s="27">
        <v>2011</v>
      </c>
      <c r="G11" s="89" t="s">
        <v>73</v>
      </c>
      <c r="H11" s="89"/>
      <c r="I11" s="28">
        <v>40909</v>
      </c>
      <c r="J11" s="10" t="s">
        <v>1</v>
      </c>
      <c r="K11" s="29">
        <v>41244</v>
      </c>
      <c r="L11" s="9"/>
      <c r="M11" s="9"/>
      <c r="N11" s="3"/>
    </row>
    <row r="12" spans="1:14" ht="22.5" customHeight="1" x14ac:dyDescent="0.25">
      <c r="A12" s="31"/>
      <c r="B12" s="84" t="s">
        <v>53</v>
      </c>
      <c r="C12" s="84"/>
      <c r="D12" s="84"/>
      <c r="E12" s="90"/>
      <c r="F12" s="90"/>
      <c r="G12" s="90"/>
      <c r="H12" s="90"/>
      <c r="I12" s="90"/>
      <c r="J12" s="90"/>
      <c r="K12" s="90"/>
      <c r="L12" s="90"/>
      <c r="M12" s="90"/>
      <c r="N12" s="3"/>
    </row>
    <row r="13" spans="1:14" x14ac:dyDescent="0.2">
      <c r="A13" s="31"/>
      <c r="B13" s="1"/>
      <c r="C13" s="1"/>
      <c r="D13" s="7"/>
      <c r="E13" s="7"/>
      <c r="F13" s="7"/>
      <c r="G13" s="7"/>
      <c r="H13" s="7"/>
      <c r="I13" s="1"/>
      <c r="J13" s="1"/>
      <c r="K13" s="1"/>
      <c r="L13" s="1"/>
      <c r="M13" s="1"/>
      <c r="N13" s="3"/>
    </row>
    <row r="14" spans="1:14" x14ac:dyDescent="0.2">
      <c r="A14" s="31"/>
      <c r="B14" s="1"/>
      <c r="C14" s="1"/>
      <c r="D14" s="1"/>
      <c r="E14" s="7"/>
      <c r="F14" s="7"/>
      <c r="G14" s="6"/>
      <c r="H14" s="7"/>
      <c r="I14" s="7"/>
      <c r="J14" s="1"/>
      <c r="K14" s="1"/>
      <c r="L14" s="1"/>
      <c r="M14" s="1"/>
      <c r="N14" s="3"/>
    </row>
    <row r="15" spans="1:14" ht="13.5" thickBot="1" x14ac:dyDescent="0.25">
      <c r="A15" s="3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3"/>
    </row>
    <row r="16" spans="1:14" ht="18.75" thickBot="1" x14ac:dyDescent="0.3">
      <c r="A16" s="32"/>
      <c r="B16" s="91" t="s">
        <v>33</v>
      </c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14"/>
    </row>
    <row r="17" spans="1:14" ht="15.75" customHeight="1" x14ac:dyDescent="0.2">
      <c r="A17" s="3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3"/>
    </row>
    <row r="18" spans="1:14" ht="18" customHeight="1" thickBot="1" x14ac:dyDescent="0.25">
      <c r="A18" s="3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3"/>
    </row>
    <row r="19" spans="1:14" ht="15.75" customHeight="1" thickBot="1" x14ac:dyDescent="0.25">
      <c r="A19" s="31"/>
      <c r="B19" s="98" t="s">
        <v>5</v>
      </c>
      <c r="C19" s="95" t="s">
        <v>17</v>
      </c>
      <c r="D19" s="96"/>
      <c r="E19" s="96"/>
      <c r="F19" s="97"/>
      <c r="G19" s="85" t="s">
        <v>10</v>
      </c>
      <c r="H19" s="85" t="s">
        <v>11</v>
      </c>
      <c r="I19" s="85" t="s">
        <v>12</v>
      </c>
      <c r="J19" s="85" t="s">
        <v>13</v>
      </c>
      <c r="K19" s="85" t="s">
        <v>14</v>
      </c>
      <c r="L19" s="85" t="s">
        <v>15</v>
      </c>
      <c r="M19" s="85" t="s">
        <v>16</v>
      </c>
      <c r="N19" s="3"/>
    </row>
    <row r="20" spans="1:14" ht="16.5" customHeight="1" x14ac:dyDescent="0.2">
      <c r="A20" s="31"/>
      <c r="B20" s="99"/>
      <c r="C20" s="79" t="s">
        <v>6</v>
      </c>
      <c r="D20" s="79" t="s">
        <v>7</v>
      </c>
      <c r="E20" s="79" t="s">
        <v>8</v>
      </c>
      <c r="F20" s="79" t="s">
        <v>9</v>
      </c>
      <c r="G20" s="86"/>
      <c r="H20" s="86"/>
      <c r="I20" s="86"/>
      <c r="J20" s="86"/>
      <c r="K20" s="86"/>
      <c r="L20" s="86"/>
      <c r="M20" s="86"/>
      <c r="N20" s="3"/>
    </row>
    <row r="21" spans="1:14" ht="26.25" customHeight="1" thickBot="1" x14ac:dyDescent="0.25">
      <c r="A21" s="31"/>
      <c r="B21" s="100"/>
      <c r="C21" s="80"/>
      <c r="D21" s="80"/>
      <c r="E21" s="80"/>
      <c r="F21" s="80"/>
      <c r="G21" s="87"/>
      <c r="H21" s="87"/>
      <c r="I21" s="87"/>
      <c r="J21" s="87"/>
      <c r="K21" s="87"/>
      <c r="L21" s="87"/>
      <c r="M21" s="87"/>
      <c r="N21" s="3"/>
    </row>
    <row r="22" spans="1:14" ht="14.25" x14ac:dyDescent="0.2">
      <c r="A22" s="30"/>
      <c r="B22" s="15" t="s">
        <v>18</v>
      </c>
      <c r="C22" s="51">
        <v>0</v>
      </c>
      <c r="D22" s="51">
        <v>0</v>
      </c>
      <c r="E22" s="51">
        <v>0</v>
      </c>
      <c r="F22" s="51">
        <v>0</v>
      </c>
      <c r="G22" s="51">
        <v>0</v>
      </c>
      <c r="H22" s="51">
        <v>0</v>
      </c>
      <c r="I22" s="51">
        <v>0</v>
      </c>
      <c r="J22" s="52">
        <f t="shared" ref="J22:J33" si="0">SUM(C22:I22)</f>
        <v>0</v>
      </c>
      <c r="K22" s="81"/>
      <c r="L22" s="82"/>
      <c r="M22" s="83"/>
      <c r="N22" s="3"/>
    </row>
    <row r="23" spans="1:14" ht="14.25" x14ac:dyDescent="0.2">
      <c r="A23" s="30"/>
      <c r="B23" s="16" t="s">
        <v>19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4">
        <f t="shared" si="0"/>
        <v>0</v>
      </c>
      <c r="K23" s="60">
        <v>0</v>
      </c>
      <c r="L23" s="60">
        <v>0</v>
      </c>
      <c r="M23" s="61">
        <f>SUM(K23:L23)</f>
        <v>0</v>
      </c>
      <c r="N23" s="3"/>
    </row>
    <row r="24" spans="1:14" ht="14.25" x14ac:dyDescent="0.2">
      <c r="A24" s="30"/>
      <c r="B24" s="16" t="s">
        <v>20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4">
        <f t="shared" si="0"/>
        <v>0</v>
      </c>
      <c r="K24" s="76"/>
      <c r="L24" s="77"/>
      <c r="M24" s="78"/>
      <c r="N24" s="3"/>
    </row>
    <row r="25" spans="1:14" ht="14.25" x14ac:dyDescent="0.2">
      <c r="A25" s="30"/>
      <c r="B25" s="16" t="s">
        <v>21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4">
        <f t="shared" si="0"/>
        <v>0</v>
      </c>
      <c r="K25" s="60">
        <v>0</v>
      </c>
      <c r="L25" s="60">
        <v>0</v>
      </c>
      <c r="M25" s="61">
        <f>SUM(K25:L25)</f>
        <v>0</v>
      </c>
      <c r="N25" s="3"/>
    </row>
    <row r="26" spans="1:14" ht="14.25" x14ac:dyDescent="0.2">
      <c r="A26" s="30"/>
      <c r="B26" s="16" t="s">
        <v>22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5">
        <f t="shared" si="0"/>
        <v>0</v>
      </c>
      <c r="K26" s="76"/>
      <c r="L26" s="77"/>
      <c r="M26" s="78"/>
      <c r="N26" s="3"/>
    </row>
    <row r="27" spans="1:14" ht="14.25" x14ac:dyDescent="0.2">
      <c r="A27" s="30"/>
      <c r="B27" s="16" t="s">
        <v>23</v>
      </c>
      <c r="C27" s="53">
        <v>0</v>
      </c>
      <c r="D27" s="53">
        <v>0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4">
        <f t="shared" si="0"/>
        <v>0</v>
      </c>
      <c r="K27" s="60">
        <v>0</v>
      </c>
      <c r="L27" s="60">
        <v>0</v>
      </c>
      <c r="M27" s="61">
        <f>SUM(K27:L27)</f>
        <v>0</v>
      </c>
      <c r="N27" s="3"/>
    </row>
    <row r="28" spans="1:14" ht="14.25" x14ac:dyDescent="0.2">
      <c r="A28" s="30"/>
      <c r="B28" s="16" t="s">
        <v>24</v>
      </c>
      <c r="C28" s="53">
        <v>0</v>
      </c>
      <c r="D28" s="53">
        <v>0</v>
      </c>
      <c r="E28" s="53">
        <v>0</v>
      </c>
      <c r="F28" s="53">
        <v>0</v>
      </c>
      <c r="G28" s="53">
        <v>0</v>
      </c>
      <c r="H28" s="53">
        <v>0</v>
      </c>
      <c r="I28" s="53">
        <v>0</v>
      </c>
      <c r="J28" s="54">
        <f t="shared" si="0"/>
        <v>0</v>
      </c>
      <c r="K28" s="76"/>
      <c r="L28" s="77"/>
      <c r="M28" s="78"/>
      <c r="N28" s="3"/>
    </row>
    <row r="29" spans="1:14" ht="14.25" x14ac:dyDescent="0.2">
      <c r="A29" s="30"/>
      <c r="B29" s="16" t="s">
        <v>25</v>
      </c>
      <c r="C29" s="53">
        <v>0</v>
      </c>
      <c r="D29" s="53">
        <v>0</v>
      </c>
      <c r="E29" s="53">
        <v>0</v>
      </c>
      <c r="F29" s="53">
        <v>0</v>
      </c>
      <c r="G29" s="53">
        <v>0</v>
      </c>
      <c r="H29" s="53">
        <v>0</v>
      </c>
      <c r="I29" s="53">
        <v>0</v>
      </c>
      <c r="J29" s="54">
        <f t="shared" si="0"/>
        <v>0</v>
      </c>
      <c r="K29" s="60">
        <v>0</v>
      </c>
      <c r="L29" s="60">
        <v>0</v>
      </c>
      <c r="M29" s="61">
        <f>SUM(K29:L29)</f>
        <v>0</v>
      </c>
      <c r="N29" s="3"/>
    </row>
    <row r="30" spans="1:14" ht="14.25" x14ac:dyDescent="0.2">
      <c r="A30" s="30"/>
      <c r="B30" s="16" t="s">
        <v>26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4">
        <f t="shared" si="0"/>
        <v>0</v>
      </c>
      <c r="K30" s="76"/>
      <c r="L30" s="77"/>
      <c r="M30" s="78"/>
      <c r="N30" s="3"/>
    </row>
    <row r="31" spans="1:14" ht="14.25" x14ac:dyDescent="0.2">
      <c r="A31" s="30"/>
      <c r="B31" s="16" t="s">
        <v>27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4">
        <f t="shared" si="0"/>
        <v>0</v>
      </c>
      <c r="K31" s="60">
        <v>0</v>
      </c>
      <c r="L31" s="60">
        <v>0</v>
      </c>
      <c r="M31" s="61">
        <f>SUM(K31:L31)</f>
        <v>0</v>
      </c>
      <c r="N31" s="3"/>
    </row>
    <row r="32" spans="1:14" ht="14.25" x14ac:dyDescent="0.2">
      <c r="A32" s="30"/>
      <c r="B32" s="16" t="s">
        <v>28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4">
        <f t="shared" si="0"/>
        <v>0</v>
      </c>
      <c r="K32" s="76"/>
      <c r="L32" s="77"/>
      <c r="M32" s="78"/>
      <c r="N32" s="3"/>
    </row>
    <row r="33" spans="1:14" ht="14.25" x14ac:dyDescent="0.2">
      <c r="A33" s="30"/>
      <c r="B33" s="16" t="s">
        <v>29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4">
        <f t="shared" si="0"/>
        <v>0</v>
      </c>
      <c r="K33" s="60">
        <v>0</v>
      </c>
      <c r="L33" s="60">
        <v>0</v>
      </c>
      <c r="M33" s="61">
        <f>SUM(K33:L33)</f>
        <v>0</v>
      </c>
      <c r="N33" s="3"/>
    </row>
    <row r="34" spans="1:14" ht="14.25" x14ac:dyDescent="0.2">
      <c r="A34" s="31"/>
      <c r="B34" s="17"/>
      <c r="C34" s="18"/>
      <c r="D34" s="18"/>
      <c r="E34" s="18"/>
      <c r="F34" s="18"/>
      <c r="G34" s="18"/>
      <c r="H34" s="18"/>
      <c r="I34" s="19"/>
      <c r="J34" s="19"/>
      <c r="K34" s="19"/>
      <c r="L34" s="19"/>
      <c r="M34" s="20"/>
      <c r="N34" s="3"/>
    </row>
    <row r="35" spans="1:14" ht="15" thickBot="1" x14ac:dyDescent="0.25">
      <c r="A35" s="31"/>
      <c r="B35" s="21"/>
      <c r="C35" s="22"/>
      <c r="D35" s="22"/>
      <c r="E35" s="22"/>
      <c r="F35" s="22"/>
      <c r="G35" s="22"/>
      <c r="H35" s="22"/>
      <c r="I35" s="23"/>
      <c r="J35" s="23"/>
      <c r="K35" s="23"/>
      <c r="L35" s="23"/>
      <c r="M35" s="24"/>
      <c r="N35" s="3"/>
    </row>
    <row r="36" spans="1:14" ht="15" x14ac:dyDescent="0.25">
      <c r="A36" s="30"/>
      <c r="B36" s="25" t="s">
        <v>30</v>
      </c>
      <c r="C36" s="56">
        <f t="shared" ref="C36:M36" si="1">SUM(C22:C33)</f>
        <v>0</v>
      </c>
      <c r="D36" s="56">
        <f t="shared" si="1"/>
        <v>0</v>
      </c>
      <c r="E36" s="56">
        <f t="shared" si="1"/>
        <v>0</v>
      </c>
      <c r="F36" s="56">
        <f t="shared" si="1"/>
        <v>0</v>
      </c>
      <c r="G36" s="56">
        <f t="shared" si="1"/>
        <v>0</v>
      </c>
      <c r="H36" s="56">
        <f t="shared" si="1"/>
        <v>0</v>
      </c>
      <c r="I36" s="57">
        <f t="shared" si="1"/>
        <v>0</v>
      </c>
      <c r="J36" s="56">
        <f t="shared" si="1"/>
        <v>0</v>
      </c>
      <c r="K36" s="56">
        <f t="shared" si="1"/>
        <v>0</v>
      </c>
      <c r="L36" s="56">
        <f t="shared" si="1"/>
        <v>0</v>
      </c>
      <c r="M36" s="58">
        <f t="shared" si="1"/>
        <v>0</v>
      </c>
      <c r="N36" s="3"/>
    </row>
    <row r="37" spans="1:14" ht="15" x14ac:dyDescent="0.25">
      <c r="A37" s="30"/>
      <c r="B37" s="36" t="s">
        <v>31</v>
      </c>
      <c r="C37" s="68"/>
      <c r="D37" s="69"/>
      <c r="E37" s="69"/>
      <c r="F37" s="69"/>
      <c r="G37" s="69"/>
      <c r="H37" s="70"/>
      <c r="I37" s="50">
        <v>0.01</v>
      </c>
      <c r="J37" s="71"/>
      <c r="K37" s="72"/>
      <c r="L37" s="72"/>
      <c r="M37" s="73"/>
      <c r="N37" s="3"/>
    </row>
    <row r="38" spans="1:14" ht="15.75" thickBot="1" x14ac:dyDescent="0.3">
      <c r="A38" s="30"/>
      <c r="B38" s="37" t="s">
        <v>32</v>
      </c>
      <c r="C38" s="38"/>
      <c r="D38" s="39"/>
      <c r="E38" s="39"/>
      <c r="F38" s="39"/>
      <c r="G38" s="39"/>
      <c r="H38" s="40"/>
      <c r="I38" s="59">
        <f>IF(I37&gt;0,I36/I37,0)</f>
        <v>0</v>
      </c>
      <c r="J38" s="38"/>
      <c r="K38" s="39"/>
      <c r="L38" s="39"/>
      <c r="M38" s="41"/>
      <c r="N38" s="3"/>
    </row>
    <row r="39" spans="1:14" x14ac:dyDescent="0.2">
      <c r="A39" s="31"/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3"/>
      <c r="N39" s="3"/>
    </row>
    <row r="40" spans="1:14" ht="12.75" customHeight="1" x14ac:dyDescent="0.2">
      <c r="A40" s="31"/>
      <c r="B40" s="92" t="s">
        <v>70</v>
      </c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4"/>
      <c r="N40" s="3"/>
    </row>
    <row r="41" spans="1:14" x14ac:dyDescent="0.2">
      <c r="A41" s="31"/>
      <c r="B41" s="92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4"/>
      <c r="N41" s="3"/>
    </row>
    <row r="42" spans="1:14" ht="13.5" thickBot="1" x14ac:dyDescent="0.25">
      <c r="A42" s="3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3"/>
      <c r="N42" s="3"/>
    </row>
    <row r="43" spans="1:14" ht="13.5" thickBot="1" x14ac:dyDescent="0.25">
      <c r="A43" s="33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5"/>
    </row>
    <row r="44" spans="1:14" x14ac:dyDescent="0.2">
      <c r="A44" s="34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</sheetData>
  <sheetProtection password="FCE0" sheet="1" objects="1" scenarios="1"/>
  <mergeCells count="34">
    <mergeCell ref="B11:D11"/>
    <mergeCell ref="E9:L9"/>
    <mergeCell ref="C4:D4"/>
    <mergeCell ref="C6:D6"/>
    <mergeCell ref="E4:J4"/>
    <mergeCell ref="E6:J6"/>
    <mergeCell ref="B9:D9"/>
    <mergeCell ref="B40:M41"/>
    <mergeCell ref="H19:H21"/>
    <mergeCell ref="I19:I21"/>
    <mergeCell ref="J19:J21"/>
    <mergeCell ref="K19:K21"/>
    <mergeCell ref="D20:D21"/>
    <mergeCell ref="E20:E21"/>
    <mergeCell ref="C20:C21"/>
    <mergeCell ref="G19:G21"/>
    <mergeCell ref="C19:F19"/>
    <mergeCell ref="B19:B21"/>
    <mergeCell ref="C2:K2"/>
    <mergeCell ref="K28:M28"/>
    <mergeCell ref="K30:M30"/>
    <mergeCell ref="K32:M32"/>
    <mergeCell ref="F20:F21"/>
    <mergeCell ref="K22:M22"/>
    <mergeCell ref="K24:M24"/>
    <mergeCell ref="K26:M26"/>
    <mergeCell ref="B12:D12"/>
    <mergeCell ref="L19:L21"/>
    <mergeCell ref="M19:M21"/>
    <mergeCell ref="E10:L10"/>
    <mergeCell ref="G11:H11"/>
    <mergeCell ref="E12:M12"/>
    <mergeCell ref="B16:M16"/>
    <mergeCell ref="B10:D10"/>
  </mergeCells>
  <phoneticPr fontId="2" type="noConversion"/>
  <pageMargins left="0.51181102362204722" right="0.74803149606299213" top="0.35433070866141736" bottom="0.35433070866141736" header="0" footer="0"/>
  <pageSetup paperSize="9" scale="50" orientation="landscape" r:id="rId1"/>
  <headerFooter alignWithMargins="0">
    <oddFooter>&amp;R&amp;P</oddFooter>
  </headerFooter>
  <colBreaks count="1" manualBreakCount="1">
    <brk id="14" max="109" man="1"/>
  </colBreaks>
  <drawing r:id="rId2"/>
  <legacyDrawing r:id="rId3"/>
  <controls>
    <mc:AlternateContent xmlns:mc="http://schemas.openxmlformats.org/markup-compatibility/2006">
      <mc:Choice Requires="x14">
        <control shapeId="3075" r:id="rId4" name="Image1">
          <controlPr defaultSize="0" autoLine="0" r:id="rId5">
            <anchor moveWithCells="1">
              <from>
                <xdr:col>1</xdr:col>
                <xdr:colOff>38100</xdr:colOff>
                <xdr:row>0</xdr:row>
                <xdr:rowOff>76200</xdr:rowOff>
              </from>
              <to>
                <xdr:col>1</xdr:col>
                <xdr:colOff>942975</xdr:colOff>
                <xdr:row>6</xdr:row>
                <xdr:rowOff>66675</xdr:rowOff>
              </to>
            </anchor>
          </controlPr>
        </control>
      </mc:Choice>
      <mc:Fallback>
        <control shapeId="3075" r:id="rId4" name="Image1"/>
      </mc:Fallback>
    </mc:AlternateContent>
    <mc:AlternateContent xmlns:mc="http://schemas.openxmlformats.org/markup-compatibility/2006">
      <mc:Choice Requires="x14">
        <control shapeId="3076" r:id="rId6" name="Validar">
          <controlPr defaultSize="0" print="0" autoLine="0" r:id="rId7">
            <anchor moveWithCells="1">
              <from>
                <xdr:col>10</xdr:col>
                <xdr:colOff>152400</xdr:colOff>
                <xdr:row>3</xdr:row>
                <xdr:rowOff>219075</xdr:rowOff>
              </from>
              <to>
                <xdr:col>11</xdr:col>
                <xdr:colOff>438150</xdr:colOff>
                <xdr:row>6</xdr:row>
                <xdr:rowOff>142875</xdr:rowOff>
              </to>
            </anchor>
          </controlPr>
        </control>
      </mc:Choice>
      <mc:Fallback>
        <control shapeId="3076" r:id="rId6" name="Valid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17"/>
  <sheetViews>
    <sheetView showGridLines="0" workbookViewId="0">
      <selection activeCell="E17" sqref="E17"/>
    </sheetView>
  </sheetViews>
  <sheetFormatPr baseColWidth="10" defaultRowHeight="12.75" x14ac:dyDescent="0.2"/>
  <sheetData>
    <row r="2" spans="2:10" ht="34.5" x14ac:dyDescent="0.45">
      <c r="D2" s="112" t="s">
        <v>60</v>
      </c>
      <c r="E2" s="112"/>
      <c r="F2" s="112"/>
      <c r="G2" s="112"/>
      <c r="H2" s="112"/>
      <c r="I2" s="112"/>
    </row>
    <row r="3" spans="2:10" x14ac:dyDescent="0.2">
      <c r="D3" s="114" t="s">
        <v>61</v>
      </c>
      <c r="E3" s="114"/>
      <c r="F3" s="114"/>
      <c r="G3" s="114"/>
      <c r="H3" s="114"/>
      <c r="I3" s="114"/>
    </row>
    <row r="5" spans="2:10" ht="27" x14ac:dyDescent="0.35">
      <c r="C5" s="113" t="s">
        <v>62</v>
      </c>
      <c r="D5" s="113"/>
      <c r="E5" s="113"/>
      <c r="F5" s="113"/>
      <c r="G5" s="113"/>
      <c r="H5" s="113"/>
      <c r="I5" s="113"/>
      <c r="J5" s="113"/>
    </row>
    <row r="6" spans="2:10" ht="12" customHeight="1" x14ac:dyDescent="0.2"/>
    <row r="7" spans="2:10" ht="27" customHeight="1" x14ac:dyDescent="0.35">
      <c r="C7" s="113" t="s">
        <v>68</v>
      </c>
      <c r="D7" s="113"/>
      <c r="E7" s="113"/>
      <c r="F7" s="113"/>
      <c r="G7" s="113"/>
      <c r="H7" s="113"/>
      <c r="I7" s="113"/>
      <c r="J7" s="113"/>
    </row>
    <row r="8" spans="2:10" ht="27.75" customHeight="1" thickBot="1" x14ac:dyDescent="0.25"/>
    <row r="9" spans="2:10" ht="33" customHeight="1" x14ac:dyDescent="0.2">
      <c r="B9" s="103" t="s">
        <v>59</v>
      </c>
      <c r="C9" s="104"/>
      <c r="D9" s="104"/>
      <c r="E9" s="104"/>
      <c r="F9" s="104"/>
      <c r="G9" s="104"/>
      <c r="H9" s="104"/>
      <c r="I9" s="105"/>
    </row>
    <row r="10" spans="2:10" x14ac:dyDescent="0.2">
      <c r="B10" s="106"/>
      <c r="C10" s="107"/>
      <c r="D10" s="107"/>
      <c r="E10" s="107"/>
      <c r="F10" s="107"/>
      <c r="G10" s="107"/>
      <c r="H10" s="107"/>
      <c r="I10" s="108"/>
    </row>
    <row r="11" spans="2:10" x14ac:dyDescent="0.2">
      <c r="B11" s="106"/>
      <c r="C11" s="107"/>
      <c r="D11" s="107"/>
      <c r="E11" s="107"/>
      <c r="F11" s="107"/>
      <c r="G11" s="107"/>
      <c r="H11" s="107"/>
      <c r="I11" s="108"/>
    </row>
    <row r="12" spans="2:10" x14ac:dyDescent="0.2">
      <c r="B12" s="106"/>
      <c r="C12" s="107"/>
      <c r="D12" s="107"/>
      <c r="E12" s="107"/>
      <c r="F12" s="107"/>
      <c r="G12" s="107"/>
      <c r="H12" s="107"/>
      <c r="I12" s="108"/>
    </row>
    <row r="13" spans="2:10" ht="13.5" thickBot="1" x14ac:dyDescent="0.25">
      <c r="B13" s="109"/>
      <c r="C13" s="110"/>
      <c r="D13" s="110"/>
      <c r="E13" s="110"/>
      <c r="F13" s="110"/>
      <c r="G13" s="110"/>
      <c r="H13" s="110"/>
      <c r="I13" s="111"/>
    </row>
    <row r="17" spans="5:5" x14ac:dyDescent="0.2">
      <c r="E17" s="62" t="s">
        <v>74</v>
      </c>
    </row>
  </sheetData>
  <mergeCells count="5">
    <mergeCell ref="B9:I13"/>
    <mergeCell ref="D2:I2"/>
    <mergeCell ref="C5:J5"/>
    <mergeCell ref="C7:J7"/>
    <mergeCell ref="D3:I3"/>
  </mergeCells>
  <phoneticPr fontId="2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4097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5"/>
  <sheetViews>
    <sheetView topLeftCell="BA1" workbookViewId="0">
      <selection activeCell="BA3" sqref="BA3"/>
    </sheetView>
  </sheetViews>
  <sheetFormatPr baseColWidth="10" defaultRowHeight="12.75" x14ac:dyDescent="0.2"/>
  <cols>
    <col min="1" max="1" width="25" hidden="1" customWidth="1"/>
    <col min="2" max="2" width="17.7109375" hidden="1" customWidth="1"/>
    <col min="3" max="3" width="17.28515625" hidden="1" customWidth="1"/>
    <col min="4" max="4" width="18.28515625" hidden="1" customWidth="1"/>
    <col min="5" max="5" width="18.85546875" hidden="1" customWidth="1"/>
    <col min="6" max="6" width="26.5703125" hidden="1" customWidth="1"/>
    <col min="7" max="7" width="18" hidden="1" customWidth="1"/>
    <col min="8" max="8" width="21.85546875" hidden="1" customWidth="1"/>
    <col min="9" max="9" width="17.140625" hidden="1" customWidth="1"/>
    <col min="10" max="10" width="40.5703125" hidden="1" customWidth="1"/>
    <col min="11" max="11" width="7.7109375" hidden="1" customWidth="1"/>
    <col min="12" max="14" width="38.42578125" hidden="1" customWidth="1"/>
    <col min="15" max="15" width="16.85546875" hidden="1" customWidth="1"/>
    <col min="16" max="16" width="17.7109375" hidden="1" customWidth="1"/>
    <col min="17" max="18" width="45.140625" hidden="1" customWidth="1"/>
    <col min="19" max="19" width="47" hidden="1" customWidth="1"/>
    <col min="20" max="52" width="0" hidden="1" customWidth="1"/>
  </cols>
  <sheetData>
    <row r="1" spans="1:26" x14ac:dyDescent="0.2">
      <c r="A1" t="s">
        <v>63</v>
      </c>
      <c r="U1">
        <f>COUNTA(B:B)-1</f>
        <v>0</v>
      </c>
      <c r="V1">
        <f>COUNTA(P:P)-1</f>
        <v>0</v>
      </c>
      <c r="Y1">
        <v>3</v>
      </c>
      <c r="Z1">
        <v>15</v>
      </c>
    </row>
    <row r="2" spans="1:26" x14ac:dyDescent="0.2">
      <c r="A2" t="s">
        <v>69</v>
      </c>
      <c r="B2" t="s">
        <v>48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54</v>
      </c>
      <c r="K2" t="s">
        <v>14</v>
      </c>
      <c r="L2" t="s">
        <v>15</v>
      </c>
      <c r="M2" t="s">
        <v>58</v>
      </c>
      <c r="O2" t="s">
        <v>69</v>
      </c>
      <c r="P2" t="s">
        <v>48</v>
      </c>
      <c r="Q2" t="s">
        <v>55</v>
      </c>
      <c r="R2" t="s">
        <v>57</v>
      </c>
      <c r="S2" t="s">
        <v>56</v>
      </c>
      <c r="T2" t="s">
        <v>58</v>
      </c>
    </row>
    <row r="3" spans="1:26" x14ac:dyDescent="0.2">
      <c r="A3" t="str">
        <f>IF(ISERROR(INDEX(Prep!C:C,MATCH(B3,Prep!B:B,0))),"",INDEX(Prep!C:C,MATCH(B3,Prep!B:B,0)))</f>
        <v/>
      </c>
      <c r="C3" t="s">
        <v>18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2011</v>
      </c>
      <c r="O3" t="str">
        <f>IF(ISERROR(INDEX(Prep!$C:$C,MATCH(P3,Prep!$B:$B,0))),"",INDEX(Prep!$C:$C,MATCH(P3,Prep!$B:$B,0)))</f>
        <v/>
      </c>
      <c r="Q3">
        <v>0</v>
      </c>
      <c r="R3">
        <v>0.01</v>
      </c>
      <c r="S3">
        <v>0</v>
      </c>
      <c r="T3">
        <v>2011</v>
      </c>
    </row>
    <row r="4" spans="1:26" x14ac:dyDescent="0.2">
      <c r="A4" t="str">
        <f>IF(ISERROR(INDEX(Prep!C:C,MATCH(B4,Prep!B:B,0))),"",INDEX(Prep!C:C,MATCH(B4,Prep!B:B,0)))</f>
        <v/>
      </c>
      <c r="C4" t="s">
        <v>19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2011</v>
      </c>
      <c r="O4" t="s">
        <v>64</v>
      </c>
    </row>
    <row r="5" spans="1:26" x14ac:dyDescent="0.2">
      <c r="A5" t="str">
        <f>IF(ISERROR(INDEX(Prep!C:C,MATCH(B5,Prep!B:B,0))),"",INDEX(Prep!C:C,MATCH(B5,Prep!B:B,0)))</f>
        <v/>
      </c>
      <c r="C5" t="s">
        <v>20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2011</v>
      </c>
    </row>
    <row r="6" spans="1:26" x14ac:dyDescent="0.2">
      <c r="A6" t="str">
        <f>IF(ISERROR(INDEX(Prep!C:C,MATCH(B6,Prep!B:B,0))),"",INDEX(Prep!C:C,MATCH(B6,Prep!B:B,0)))</f>
        <v/>
      </c>
      <c r="C6" t="s">
        <v>21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2011</v>
      </c>
    </row>
    <row r="7" spans="1:26" x14ac:dyDescent="0.2">
      <c r="A7" t="str">
        <f>IF(ISERROR(INDEX(Prep!C:C,MATCH(B7,Prep!B:B,0))),"",INDEX(Prep!C:C,MATCH(B7,Prep!B:B,0)))</f>
        <v/>
      </c>
      <c r="C7" t="s">
        <v>22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2011</v>
      </c>
    </row>
    <row r="8" spans="1:26" x14ac:dyDescent="0.2">
      <c r="A8" t="str">
        <f>IF(ISERROR(INDEX(Prep!C:C,MATCH(B8,Prep!B:B,0))),"",INDEX(Prep!C:C,MATCH(B8,Prep!B:B,0)))</f>
        <v/>
      </c>
      <c r="C8" t="s">
        <v>23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2011</v>
      </c>
    </row>
    <row r="9" spans="1:26" x14ac:dyDescent="0.2">
      <c r="A9" t="str">
        <f>IF(ISERROR(INDEX(Prep!C:C,MATCH(B9,Prep!B:B,0))),"",INDEX(Prep!C:C,MATCH(B9,Prep!B:B,0)))</f>
        <v/>
      </c>
      <c r="C9" t="s">
        <v>24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2011</v>
      </c>
    </row>
    <row r="10" spans="1:26" x14ac:dyDescent="0.2">
      <c r="A10" t="str">
        <f>IF(ISERROR(INDEX(Prep!C:C,MATCH(B10,Prep!B:B,0))),"",INDEX(Prep!C:C,MATCH(B10,Prep!B:B,0)))</f>
        <v/>
      </c>
      <c r="C10" t="s">
        <v>25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2011</v>
      </c>
    </row>
    <row r="11" spans="1:26" x14ac:dyDescent="0.2">
      <c r="A11" t="str">
        <f>IF(ISERROR(INDEX(Prep!C:C,MATCH(B11,Prep!B:B,0))),"",INDEX(Prep!C:C,MATCH(B11,Prep!B:B,0)))</f>
        <v/>
      </c>
      <c r="C11" t="s">
        <v>26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2011</v>
      </c>
    </row>
    <row r="12" spans="1:26" x14ac:dyDescent="0.2">
      <c r="A12" t="str">
        <f>IF(ISERROR(INDEX(Prep!C:C,MATCH(B12,Prep!B:B,0))),"",INDEX(Prep!C:C,MATCH(B12,Prep!B:B,0)))</f>
        <v/>
      </c>
      <c r="C12" t="s">
        <v>27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2011</v>
      </c>
    </row>
    <row r="13" spans="1:26" x14ac:dyDescent="0.2">
      <c r="A13" t="str">
        <f>IF(ISERROR(INDEX(Prep!C:C,MATCH(B13,Prep!B:B,0))),"",INDEX(Prep!C:C,MATCH(B13,Prep!B:B,0)))</f>
        <v/>
      </c>
      <c r="C13" t="s">
        <v>28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2011</v>
      </c>
    </row>
    <row r="14" spans="1:26" x14ac:dyDescent="0.2">
      <c r="A14" t="str">
        <f>IF(ISERROR(INDEX(Prep!C:C,MATCH(B14,Prep!B:B,0))),"",INDEX(Prep!C:C,MATCH(B14,Prep!B:B,0)))</f>
        <v/>
      </c>
      <c r="C14" t="s">
        <v>29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2011</v>
      </c>
    </row>
    <row r="15" spans="1:26" x14ac:dyDescent="0.2">
      <c r="A15" t="s">
        <v>64</v>
      </c>
    </row>
  </sheetData>
  <phoneticPr fontId="2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LI"/>
  <dimension ref="A1:IV4"/>
  <sheetViews>
    <sheetView workbookViewId="0">
      <selection activeCell="A2" sqref="A2"/>
    </sheetView>
  </sheetViews>
  <sheetFormatPr baseColWidth="10" defaultRowHeight="12.75" x14ac:dyDescent="0.2"/>
  <cols>
    <col min="2" max="2" width="19.28515625" customWidth="1"/>
    <col min="3" max="3" width="19.7109375" bestFit="1" customWidth="1"/>
  </cols>
  <sheetData>
    <row r="1" spans="1:256" x14ac:dyDescent="0.2">
      <c r="A1" t="s">
        <v>34</v>
      </c>
      <c r="B1" t="s">
        <v>35</v>
      </c>
      <c r="C1" t="s">
        <v>36</v>
      </c>
      <c r="E1">
        <f>COUNTA(A:A)-1</f>
        <v>0</v>
      </c>
      <c r="IV1">
        <v>3</v>
      </c>
    </row>
    <row r="2" spans="1:256" x14ac:dyDescent="0.2">
      <c r="IV2">
        <f>+SUM(RCedG!BA3:BI14)</f>
        <v>0</v>
      </c>
    </row>
    <row r="3" spans="1:256" x14ac:dyDescent="0.2">
      <c r="M3" t="s">
        <v>38</v>
      </c>
      <c r="N3" t="s">
        <v>39</v>
      </c>
      <c r="O3" t="s">
        <v>37</v>
      </c>
      <c r="IV3">
        <f>+COUNT(RCedG!BA3:BI14)</f>
        <v>0</v>
      </c>
    </row>
    <row r="4" spans="1:256" x14ac:dyDescent="0.2">
      <c r="M4" t="s">
        <v>38</v>
      </c>
      <c r="N4" t="s">
        <v>40</v>
      </c>
      <c r="O4" t="s">
        <v>37</v>
      </c>
    </row>
  </sheetData>
  <phoneticPr fontId="2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Prep</vt:lpstr>
      <vt:lpstr>CEDULA_G</vt:lpstr>
      <vt:lpstr>SISCONET</vt:lpstr>
      <vt:lpstr>RCedG</vt:lpstr>
      <vt:lpstr>Val</vt:lpstr>
      <vt:lpstr>CEDULA_G!Área_de_impresión</vt:lpstr>
      <vt:lpstr>CEDULA_G!Títulos_a_imprimir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Krlos</dc:creator>
  <cp:lastModifiedBy>user</cp:lastModifiedBy>
  <cp:lastPrinted>2013-12-18T01:17:01Z</cp:lastPrinted>
  <dcterms:created xsi:type="dcterms:W3CDTF">2011-10-03T15:34:48Z</dcterms:created>
  <dcterms:modified xsi:type="dcterms:W3CDTF">2013-12-18T01:17:08Z</dcterms:modified>
</cp:coreProperties>
</file>